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ini" sheetId="1" r:id="rId5"/>
    <sheet state="visible" name="Stats individuali" sheetId="2" r:id="rId6"/>
    <sheet state="visible" name="Riassunto per anno" sheetId="3" r:id="rId7"/>
    <sheet state="visible" name="Distinta" sheetId="4" r:id="rId8"/>
    <sheet state="visible" name="Riordino" sheetId="5" r:id="rId9"/>
  </sheets>
  <definedNames/>
  <calcPr/>
</workbook>
</file>

<file path=xl/sharedStrings.xml><?xml version="1.0" encoding="utf-8"?>
<sst xmlns="http://schemas.openxmlformats.org/spreadsheetml/2006/main" count="6321" uniqueCount="582">
  <si>
    <t>TABELLINI DELLE PARTITE</t>
  </si>
  <si>
    <t>STAGIONE 2018/2019</t>
  </si>
  <si>
    <t>MARCATORI DI GIUGNO 2019:</t>
  </si>
  <si>
    <t>Totale gol:</t>
  </si>
  <si>
    <t>LIPPA</t>
  </si>
  <si>
    <t>MASSI</t>
  </si>
  <si>
    <t>MARCELLO</t>
  </si>
  <si>
    <t>THOMAS</t>
  </si>
  <si>
    <t>Massi</t>
  </si>
  <si>
    <t>RAFFA</t>
  </si>
  <si>
    <t>FEDE M</t>
  </si>
  <si>
    <t>NELLO</t>
  </si>
  <si>
    <t>Luciano, Matte</t>
  </si>
  <si>
    <t>BORO</t>
  </si>
  <si>
    <t>SLEVA</t>
  </si>
  <si>
    <t>PEDRO</t>
  </si>
  <si>
    <t>Nello, Bik</t>
  </si>
  <si>
    <t>MATTE</t>
  </si>
  <si>
    <t>LUCIANO</t>
  </si>
  <si>
    <t>Sleva, Raffa</t>
  </si>
  <si>
    <t>BIK</t>
  </si>
  <si>
    <t>Fede M, Boro, Thomas, Pedro</t>
  </si>
  <si>
    <t>autorete Matte</t>
  </si>
  <si>
    <t>autogol Matte</t>
  </si>
  <si>
    <t>FABIO E</t>
  </si>
  <si>
    <t xml:space="preserve"> SLEVA</t>
  </si>
  <si>
    <t>RICHI</t>
  </si>
  <si>
    <t xml:space="preserve"> MARCATORI DI MAGGIO 2019:</t>
  </si>
  <si>
    <t>Fede M, Matte</t>
  </si>
  <si>
    <t>Thomas</t>
  </si>
  <si>
    <t>Lippa, Sleva</t>
  </si>
  <si>
    <t>Pedro</t>
  </si>
  <si>
    <t>Nello, Massi</t>
  </si>
  <si>
    <t>Boro</t>
  </si>
  <si>
    <t>Luciano, Marcello</t>
  </si>
  <si>
    <t>Fabio E</t>
  </si>
  <si>
    <t>Sleva</t>
  </si>
  <si>
    <t>Boro, Matte</t>
  </si>
  <si>
    <t>Bik</t>
  </si>
  <si>
    <t>GABBO</t>
  </si>
  <si>
    <t>FEDE C</t>
  </si>
  <si>
    <t>Nello</t>
  </si>
  <si>
    <t>Richi</t>
  </si>
  <si>
    <t>autorete Nello</t>
  </si>
  <si>
    <t>autorete Luciano</t>
  </si>
  <si>
    <t>Massi, Fede M</t>
  </si>
  <si>
    <t>Fabio E, Fede C</t>
  </si>
  <si>
    <t>autogol Matte, Nello, Luciano</t>
  </si>
  <si>
    <t>MARCATORI DI LUGLIO 2019:</t>
  </si>
  <si>
    <t>Lippa</t>
  </si>
  <si>
    <t>Matte, Bik, Gabbo</t>
  </si>
  <si>
    <t>Fede M, Luciano, Pedro</t>
  </si>
  <si>
    <t>16-ago (al Benassi)</t>
  </si>
  <si>
    <t>28-ago (mercoledì)</t>
  </si>
  <si>
    <t>PISCO</t>
  </si>
  <si>
    <t>JACK</t>
  </si>
  <si>
    <t>STEFANO</t>
  </si>
  <si>
    <t>BIONDO</t>
  </si>
  <si>
    <t>autorete Boro</t>
  </si>
  <si>
    <t>CLASSIFICA MARCATORI DI AGOSTO 2019:</t>
  </si>
  <si>
    <t>Boro, Richi</t>
  </si>
  <si>
    <t>Matte</t>
  </si>
  <si>
    <t>Luciano, Massi</t>
  </si>
  <si>
    <t>Gabbo, Pisco, Lippa, Marcello</t>
  </si>
  <si>
    <t>Thomas, Fede M, Marcello</t>
  </si>
  <si>
    <t>Nello, Stefano, Biondo, Jack, Fede C</t>
  </si>
  <si>
    <t>autogol Boro</t>
  </si>
  <si>
    <t>STAGIONE 2019/2020</t>
  </si>
  <si>
    <t>MARCATORI DI SETTEMBRE 2019:</t>
  </si>
  <si>
    <t>G</t>
  </si>
  <si>
    <t>Ass</t>
  </si>
  <si>
    <t>Fede M, Pedro, Fabio E, Biondo</t>
  </si>
  <si>
    <t>MVP</t>
  </si>
  <si>
    <t>aut. Fabio</t>
  </si>
  <si>
    <t>aut. Pedro</t>
  </si>
  <si>
    <t>n.d.</t>
  </si>
  <si>
    <t>Boro, Marcello</t>
  </si>
  <si>
    <t>BEST GOL</t>
  </si>
  <si>
    <t>Thomas, Richi, Luciano</t>
  </si>
  <si>
    <t>Pisco</t>
  </si>
  <si>
    <t>aut. Fabio E, aut. Pedro</t>
  </si>
  <si>
    <t>MARCATORI DI OTTOBRE 2019:</t>
  </si>
  <si>
    <t>Fede M</t>
  </si>
  <si>
    <t>Massi, Thomas</t>
  </si>
  <si>
    <t>Biondo</t>
  </si>
  <si>
    <t>Raffa, Matte</t>
  </si>
  <si>
    <t>Fede</t>
  </si>
  <si>
    <t>aut. Fede</t>
  </si>
  <si>
    <t>Pedro, Bik, Richi</t>
  </si>
  <si>
    <t>aut. Fede, aut. Pedro</t>
  </si>
  <si>
    <t>(giovedì) 7-nov</t>
  </si>
  <si>
    <t>Luciano</t>
  </si>
  <si>
    <t>aut. Luciano</t>
  </si>
  <si>
    <t>aut. Biondo</t>
  </si>
  <si>
    <t>CLASSIFICA MARCATORI DI NOVEMBRE 2019:</t>
  </si>
  <si>
    <t>Bik, Thomas, Richi</t>
  </si>
  <si>
    <t>Pedro, Sleva</t>
  </si>
  <si>
    <t>aut. Luciano, aut. Biondo</t>
  </si>
  <si>
    <t>MARCATORI DI DICEMBRE 2019:</t>
  </si>
  <si>
    <t>Boro, Massi</t>
  </si>
  <si>
    <t>Bik, Thomas</t>
  </si>
  <si>
    <t>aut. Bik, Jack, Lippa</t>
  </si>
  <si>
    <t>aut. Bik</t>
  </si>
  <si>
    <t>aut. Sleva</t>
  </si>
  <si>
    <t>Luciano, Nello</t>
  </si>
  <si>
    <t>?</t>
  </si>
  <si>
    <t>FEDE</t>
  </si>
  <si>
    <t>CLASSIFICA MARCATORI DI GENNAIO 2020:</t>
  </si>
  <si>
    <t>Bik, Pedro</t>
  </si>
  <si>
    <t>Luciano, Marcello, Nello</t>
  </si>
  <si>
    <t>MARCATORI DI FEBBRAIO 2020:</t>
  </si>
  <si>
    <t>Sleva, Fabio E, Boro, Nello</t>
  </si>
  <si>
    <t>ZACCO</t>
  </si>
  <si>
    <t>Luciano, Thomas, Raffa</t>
  </si>
  <si>
    <t>a. Luciano</t>
  </si>
  <si>
    <t>Pedro, Jack, Zacco</t>
  </si>
  <si>
    <t>10 MARZO-17 LUGLIO SOSPENSIONE CAUSA COVID-19</t>
  </si>
  <si>
    <t>(al Benassi, Siro chiuso per sicurezza)</t>
  </si>
  <si>
    <t>MARCATORI DI LUGLIO 2020:</t>
  </si>
  <si>
    <t>Jack</t>
  </si>
  <si>
    <t>FEDE M.</t>
  </si>
  <si>
    <t>JUAN</t>
  </si>
  <si>
    <t>SANTO</t>
  </si>
  <si>
    <t>Fede M, Lippa, Santo, Fabio E, Luciano, Juan, Thomas</t>
  </si>
  <si>
    <t>AFRO</t>
  </si>
  <si>
    <t>11-ago (martedì)</t>
  </si>
  <si>
    <t>MARCATORI DI AGOSTO 2020:</t>
  </si>
  <si>
    <t>Pisco, Fabio E, Nello</t>
  </si>
  <si>
    <t>Lippa, Sleva, Matte</t>
  </si>
  <si>
    <t>MASSIM.</t>
  </si>
  <si>
    <t>Marcello, Bik</t>
  </si>
  <si>
    <t>FABIO</t>
  </si>
  <si>
    <t>Santo, Boro, Raffa</t>
  </si>
  <si>
    <t>aut. Matte</t>
  </si>
  <si>
    <t>Raffa</t>
  </si>
  <si>
    <t>STAGIONE 2020/2021</t>
  </si>
  <si>
    <t>MARCATORI DI SETTEMBRE 2020:</t>
  </si>
  <si>
    <t>CLAUDIO</t>
  </si>
  <si>
    <t>FEDE T.</t>
  </si>
  <si>
    <t>MATTEO</t>
  </si>
  <si>
    <t>ROBERT</t>
  </si>
  <si>
    <t>Matte, Grzegorz</t>
  </si>
  <si>
    <t>GRZEGORZ</t>
  </si>
  <si>
    <t>Sleva, Fede T, Luciano</t>
  </si>
  <si>
    <t>a. Fede M</t>
  </si>
  <si>
    <t>Bik, Juan</t>
  </si>
  <si>
    <t>Juan</t>
  </si>
  <si>
    <t>a. Fede T</t>
  </si>
  <si>
    <t>aut. Fede M, Fede T</t>
  </si>
  <si>
    <t>CLASSIFICA MARCATORI DI OTTOBRE 2020:</t>
  </si>
  <si>
    <t>Massi, Boro, Juan</t>
  </si>
  <si>
    <t>GAETANO</t>
  </si>
  <si>
    <t>Matte, Marcello</t>
  </si>
  <si>
    <t>FEDE T</t>
  </si>
  <si>
    <t>Fede M, Luciano</t>
  </si>
  <si>
    <t>Fede T, Fabio E, Stefano</t>
  </si>
  <si>
    <t>CLASSIFICA MARCATORI DI APRILE 2021:</t>
  </si>
  <si>
    <t>Lippa, Nello, Sleva, Biondo</t>
  </si>
  <si>
    <t>Fede M, Massi</t>
  </si>
  <si>
    <t>MARCATORI DI MAGGIO 2021:</t>
  </si>
  <si>
    <t>Massi, Sleva</t>
  </si>
  <si>
    <t>Lippa, Raffa</t>
  </si>
  <si>
    <t>Boro, Biondo</t>
  </si>
  <si>
    <t>Fede M, Fabio E</t>
  </si>
  <si>
    <t>Luciano, Thomas</t>
  </si>
  <si>
    <t>Nello, Marcello</t>
  </si>
  <si>
    <t>SALMI</t>
  </si>
  <si>
    <t>COLO</t>
  </si>
  <si>
    <t>MARCATORI DI GIUGNO 2021:</t>
  </si>
  <si>
    <t>Massi, Jack</t>
  </si>
  <si>
    <t>Fabio E, Bik, Sleva</t>
  </si>
  <si>
    <t>Gabbo, Thomas, Matte, Santo</t>
  </si>
  <si>
    <t>Matteo, Boro, Colo</t>
  </si>
  <si>
    <t>MARCATORI DI LUGLIO 2021:</t>
  </si>
  <si>
    <t>Gabbo</t>
  </si>
  <si>
    <t>VASON</t>
  </si>
  <si>
    <t>Fede M, Jack</t>
  </si>
  <si>
    <t>Matte, Biondo, Salmi</t>
  </si>
  <si>
    <t>Boro, Santo, Matteo</t>
  </si>
  <si>
    <t>Thomas, Sleva</t>
  </si>
  <si>
    <t>autogol</t>
  </si>
  <si>
    <t>MARCATORI DI AGOSTO 2021:</t>
  </si>
  <si>
    <t>Spiga</t>
  </si>
  <si>
    <t>KERRO</t>
  </si>
  <si>
    <t xml:space="preserve"> THOMAS</t>
  </si>
  <si>
    <t>Biondo, Bik</t>
  </si>
  <si>
    <t>SPIGA</t>
  </si>
  <si>
    <t>ROMANO</t>
  </si>
  <si>
    <t>Thomas, Matte, Salmi,</t>
  </si>
  <si>
    <t>Fede M, Romano</t>
  </si>
  <si>
    <t>a. Thomas</t>
  </si>
  <si>
    <t>a. Matte</t>
  </si>
  <si>
    <t>Gabbo, Sleva, Nello, Raffa,</t>
  </si>
  <si>
    <t>Boro, autogol Thomas</t>
  </si>
  <si>
    <t>Fede T, autogol Matteo</t>
  </si>
  <si>
    <t>Vason, Luciano</t>
  </si>
  <si>
    <t>STAGIONE 2021/2022</t>
  </si>
  <si>
    <t>MARCATORI DI SETTEMBRE 2021:</t>
  </si>
  <si>
    <t>Fede M, Spiga</t>
  </si>
  <si>
    <t>Biondo, Gabbo</t>
  </si>
  <si>
    <t>Sleva, Bik, Nello</t>
  </si>
  <si>
    <t>Lippa, Luciano, Thomas</t>
  </si>
  <si>
    <t>SABBA</t>
  </si>
  <si>
    <t>Salmi</t>
  </si>
  <si>
    <t>MARCATORI DI OTTOBRE 2021:</t>
  </si>
  <si>
    <t>Sleva, Matte</t>
  </si>
  <si>
    <t>Salmi, Thomas, Nello</t>
  </si>
  <si>
    <t>GIABBA</t>
  </si>
  <si>
    <t>Luciano, Marcello, Giabba</t>
  </si>
  <si>
    <t>(dal 16-11, giocate alla Raquette)</t>
  </si>
  <si>
    <t>PAVOLETTI</t>
  </si>
  <si>
    <t>SAMUELE</t>
  </si>
  <si>
    <t>MANUEL</t>
  </si>
  <si>
    <t>a. Massi</t>
  </si>
  <si>
    <t>a. Marcel</t>
  </si>
  <si>
    <t>a. Manu</t>
  </si>
  <si>
    <t>MARCATORI DI NOVEMBRE 2021:</t>
  </si>
  <si>
    <t>Thomas, Salmi, Samuele</t>
  </si>
  <si>
    <t>Boro, Spiga</t>
  </si>
  <si>
    <t>Matte, Marcello, Gabbo, Manuel</t>
  </si>
  <si>
    <t>Pavoletti, Luciano</t>
  </si>
  <si>
    <t>Pisco, Lippa, Giabba, Bik</t>
  </si>
  <si>
    <t>aut. Marcello</t>
  </si>
  <si>
    <t>aut. Bik, aut. Massi, aut. Manu</t>
  </si>
  <si>
    <t>MARCATORI DI DICEMBRE 2021:</t>
  </si>
  <si>
    <t>SANTI</t>
  </si>
  <si>
    <t>Santi</t>
  </si>
  <si>
    <t>CRESH</t>
  </si>
  <si>
    <t>Giabba</t>
  </si>
  <si>
    <t>a. Santi</t>
  </si>
  <si>
    <t>Salmi, Cresh, Manuel</t>
  </si>
  <si>
    <t>Pavoletti, Matte</t>
  </si>
  <si>
    <t>Fede T</t>
  </si>
  <si>
    <t>Thomas, Boro</t>
  </si>
  <si>
    <t>Biondo, Marcello</t>
  </si>
  <si>
    <t>autogol Santi</t>
  </si>
  <si>
    <t>autogol Luciano</t>
  </si>
  <si>
    <t>autogol Massi</t>
  </si>
  <si>
    <t>MARCATORI DI GENNAIO 2022:</t>
  </si>
  <si>
    <t>CESCO</t>
  </si>
  <si>
    <t>Cresh</t>
  </si>
  <si>
    <t>Manuel, Gabbo, Pisco</t>
  </si>
  <si>
    <t>Samuele, Vason, Bik</t>
  </si>
  <si>
    <t>autogol Fede M</t>
  </si>
  <si>
    <t>autogol Thomas</t>
  </si>
  <si>
    <t>MARCATORI DI FEBBRAIO 2022:</t>
  </si>
  <si>
    <t>Fede M, Massi, Lippa</t>
  </si>
  <si>
    <t>Pisco, Matte, Bik, Luciano</t>
  </si>
  <si>
    <t>GMG</t>
  </si>
  <si>
    <t>Samuele, GMG, Boro</t>
  </si>
  <si>
    <t>MARCO</t>
  </si>
  <si>
    <t>Vason</t>
  </si>
  <si>
    <t>BONOMO</t>
  </si>
  <si>
    <t>MARCATORI DI MARZO 2022:</t>
  </si>
  <si>
    <t>Bonomo</t>
  </si>
  <si>
    <t>aut. Thomas</t>
  </si>
  <si>
    <t>MARCATORI DI APRILE 2022:</t>
  </si>
  <si>
    <t>Marcello</t>
  </si>
  <si>
    <t>aut. Salmi</t>
  </si>
  <si>
    <t>VITO</t>
  </si>
  <si>
    <t>Samu</t>
  </si>
  <si>
    <t>a. Salmi</t>
  </si>
  <si>
    <t>Dal 3 maggio il campo di gioco torna ad essere il Benassi</t>
  </si>
  <si>
    <t>VALERIO</t>
  </si>
  <si>
    <t>MARCATORI DI MAGGIO 2022:</t>
  </si>
  <si>
    <t>Fabio (Bik)</t>
  </si>
  <si>
    <t>Samuele</t>
  </si>
  <si>
    <t>Valerio</t>
  </si>
  <si>
    <t>MARCATORI DI GIUGNO 2022:</t>
  </si>
  <si>
    <t>MARCATORI DI LUGLIO 2022:</t>
  </si>
  <si>
    <t>MARCATORI DI AGOSTO 2022:</t>
  </si>
  <si>
    <t>EDOARDO</t>
  </si>
  <si>
    <t>Edoardo</t>
  </si>
  <si>
    <t>aut. Nello</t>
  </si>
  <si>
    <t>a. Nello</t>
  </si>
  <si>
    <t>STAGIONE 2022/2023</t>
  </si>
  <si>
    <t>MARCATORI DI SETTEMBRE 2022:</t>
  </si>
  <si>
    <t>Dani</t>
  </si>
  <si>
    <t>DANI</t>
  </si>
  <si>
    <t>MARCATORI DI OTTOBRE 2022:</t>
  </si>
  <si>
    <t>a. Bik</t>
  </si>
  <si>
    <t>a. Dani</t>
  </si>
  <si>
    <t>MARCATORI DI NOVEMBRE 2022:</t>
  </si>
  <si>
    <t>aut. Dani</t>
  </si>
  <si>
    <t>MARCATORI DI DICEMBRE 2022:</t>
  </si>
  <si>
    <t>a. Pisco</t>
  </si>
  <si>
    <t>aut. Pisco</t>
  </si>
  <si>
    <t>a. Gabbo</t>
  </si>
  <si>
    <t>MARCATORI DI GENNAIO 2023:</t>
  </si>
  <si>
    <t>Pavoletti</t>
  </si>
  <si>
    <t>MARCATORI DI FEBBRAIO 2023:</t>
  </si>
  <si>
    <t>Gmg</t>
  </si>
  <si>
    <t>a. Valerio</t>
  </si>
  <si>
    <t>MARCATORI DI MARZO 2023:</t>
  </si>
  <si>
    <t>aut. Massi</t>
  </si>
  <si>
    <t>MARCATORI DI APRILE 2023:</t>
  </si>
  <si>
    <t>CRISTIAN</t>
  </si>
  <si>
    <t>Cristian</t>
  </si>
  <si>
    <t xml:space="preserve"> MASSI</t>
  </si>
  <si>
    <t>MARCATORI DI MAGGIO 2023:</t>
  </si>
  <si>
    <t>MARCATORI DI GIUGNO 2023:</t>
  </si>
  <si>
    <t>LORENZO</t>
  </si>
  <si>
    <t xml:space="preserve"> SALMI</t>
  </si>
  <si>
    <t>MARCATORI DI LUGLIO 2023:</t>
  </si>
  <si>
    <t>ETERE</t>
  </si>
  <si>
    <t>ALEX</t>
  </si>
  <si>
    <t>MARCATORI DI AGOSTO 2023:</t>
  </si>
  <si>
    <t>Colo</t>
  </si>
  <si>
    <t>STAGIONE 2023/2024</t>
  </si>
  <si>
    <t>MARCATORI DI SETTEMBRE 2023:</t>
  </si>
  <si>
    <t>Etere</t>
  </si>
  <si>
    <t>LUIGI</t>
  </si>
  <si>
    <t>Luigi</t>
  </si>
  <si>
    <t>FRANCESCO</t>
  </si>
  <si>
    <t>FRENK</t>
  </si>
  <si>
    <t>a. Vason</t>
  </si>
  <si>
    <t>MARCATORI DI OTTOBRE 2023:</t>
  </si>
  <si>
    <t>aut. Vason</t>
  </si>
  <si>
    <t>20° ANNO</t>
  </si>
  <si>
    <t>MARCATORI DI NOVEMBRE 2023:</t>
  </si>
  <si>
    <t>FEDE  M</t>
  </si>
  <si>
    <t>Non giocata</t>
  </si>
  <si>
    <t>MARCATORI DI DICEMBRE 2023:</t>
  </si>
  <si>
    <t>MASSIMILIANO</t>
  </si>
  <si>
    <t>Massimiliano</t>
  </si>
  <si>
    <t>a. Lucio</t>
  </si>
  <si>
    <t>MARCATORI DI GENNAIO 2024:</t>
  </si>
  <si>
    <t>MARCATORI DI FEBBRAIO 2024:</t>
  </si>
  <si>
    <t>MARCATORI DI MARZO 2024:</t>
  </si>
  <si>
    <t>MARCATORI DI APRILE 2024:</t>
  </si>
  <si>
    <t>MARCATORI DI MAGGIO 2024:</t>
  </si>
  <si>
    <t>MARCATORI DI GIUGNO 2024:</t>
  </si>
  <si>
    <t>ALESSANDRO</t>
  </si>
  <si>
    <t>Giocata al Circolo Panda</t>
  </si>
  <si>
    <t>FABIO (bik)</t>
  </si>
  <si>
    <t xml:space="preserve"> DANI</t>
  </si>
  <si>
    <t>a. Lippa</t>
  </si>
  <si>
    <t>MARCATORI DI LUGLIO 2024:</t>
  </si>
  <si>
    <t>MARCATORI DI AGOSTO 2024:</t>
  </si>
  <si>
    <t>TRONCA</t>
  </si>
  <si>
    <t>Tronca</t>
  </si>
  <si>
    <t>STAGIONE 2024/2025</t>
  </si>
  <si>
    <t>MARCATORI DI SETTEMBRE 2024:</t>
  </si>
  <si>
    <t>giovedì</t>
  </si>
  <si>
    <t>NAPO</t>
  </si>
  <si>
    <t>*MASSI</t>
  </si>
  <si>
    <t>*Massi è passato ai rossi dopo</t>
  </si>
  <si>
    <t>l'infortunio occorso a Matte</t>
  </si>
  <si>
    <t>MARCATORI DI OTTOBRE 2024:</t>
  </si>
  <si>
    <t>Napo</t>
  </si>
  <si>
    <t>mercoledì</t>
  </si>
  <si>
    <t>lunedì</t>
  </si>
  <si>
    <t>MARCATORI DI NOVEMBRE 2024:</t>
  </si>
  <si>
    <t>10-dic, non giocata</t>
  </si>
  <si>
    <t>MARCATORI DI DICEMBRE 2024:</t>
  </si>
  <si>
    <t>MARCATORI DI GENNAIO 2025:</t>
  </si>
  <si>
    <t>Lunedì</t>
  </si>
  <si>
    <t>MARCATORI DI FEBBRAIO 2025:</t>
  </si>
  <si>
    <t>MARCATORI DI MARZO 2025:</t>
  </si>
  <si>
    <t>FABIO GL.</t>
  </si>
  <si>
    <t>Fabio Glad</t>
  </si>
  <si>
    <t>a. Cri</t>
  </si>
  <si>
    <t>a. Cristian</t>
  </si>
  <si>
    <t>FABIO GL</t>
  </si>
  <si>
    <t>MARCATORI DI APRILE 2025:</t>
  </si>
  <si>
    <t>Fabio GL</t>
  </si>
  <si>
    <t>MARCATORI DI MAGGIO 2025:</t>
  </si>
  <si>
    <t>aut. Fede M</t>
  </si>
  <si>
    <t>MARCATORI DI GIUGNO 2025:</t>
  </si>
  <si>
    <t>CRISITIAN</t>
  </si>
  <si>
    <t>a. Fede</t>
  </si>
  <si>
    <t>1 luglio, interrotta per infortunio</t>
  </si>
  <si>
    <t>MARCATORI DI LUGLIO 2025:</t>
  </si>
  <si>
    <t>12 agosto non giocata</t>
  </si>
  <si>
    <t>MARCATORI DI AGOSTO 2025:</t>
  </si>
  <si>
    <t>STAGIONE 2025/2026</t>
  </si>
  <si>
    <t>GIUSEPPE</t>
  </si>
  <si>
    <t>MARCATORI DI SETTEMBRE 2025:</t>
  </si>
  <si>
    <t>Giuseppe</t>
  </si>
  <si>
    <t>MARCATORI DI OTTOBRE 2025:</t>
  </si>
  <si>
    <t>a. Fabio</t>
  </si>
  <si>
    <t>a. Fabio E</t>
  </si>
  <si>
    <t>MARCATORI DI NOVEMBRE 2025:</t>
  </si>
  <si>
    <t>Peppe</t>
  </si>
  <si>
    <t>PEPPE</t>
  </si>
  <si>
    <t>Fabio  E</t>
  </si>
  <si>
    <t>23 dicembre non giocata</t>
  </si>
  <si>
    <t>DAVIDE</t>
  </si>
  <si>
    <t>MARCATORI DI DICEMBRE 2025:</t>
  </si>
  <si>
    <t>Raquette</t>
  </si>
  <si>
    <t>MARCATORI DI GENNAIO 2026:</t>
  </si>
  <si>
    <t>Claudio</t>
  </si>
  <si>
    <t>Vito</t>
  </si>
  <si>
    <t>MARCATORI DI FEBBRAIO 2026:</t>
  </si>
  <si>
    <t>MARCATORI DI MARZO 2026:</t>
  </si>
  <si>
    <t>STATISTICHE INDIVIDUALI:</t>
  </si>
  <si>
    <r>
      <rPr>
        <rFont val="Calibri"/>
        <b/>
        <color rgb="FFFF0000"/>
        <sz val="11.0"/>
      </rPr>
      <t xml:space="preserve">VINTE </t>
    </r>
    <r>
      <rPr>
        <rFont val="Calibri"/>
        <b/>
        <color rgb="FFFF0000"/>
        <sz val="11.0"/>
      </rPr>
      <t>-</t>
    </r>
    <r>
      <rPr>
        <rFont val="Calibri"/>
        <b/>
        <color rgb="FFFF0000"/>
        <sz val="11.0"/>
      </rPr>
      <t xml:space="preserve"> </t>
    </r>
    <r>
      <rPr>
        <rFont val="Calibri"/>
        <b/>
        <color rgb="FF00B050"/>
        <sz val="11.0"/>
      </rPr>
      <t>NULLE</t>
    </r>
    <r>
      <rPr>
        <rFont val="Calibri"/>
        <b/>
        <color rgb="FFFF0000"/>
        <sz val="11.0"/>
      </rPr>
      <t xml:space="preserve"> </t>
    </r>
    <r>
      <rPr>
        <rFont val="Calibri"/>
        <b/>
        <color rgb="FFFF0000"/>
        <sz val="11.0"/>
      </rPr>
      <t>-</t>
    </r>
    <r>
      <rPr>
        <rFont val="Calibri"/>
        <b/>
        <color rgb="FFFF0000"/>
        <sz val="11.0"/>
      </rPr>
      <t xml:space="preserve"> </t>
    </r>
    <r>
      <rPr>
        <rFont val="Calibri"/>
        <b/>
        <color rgb="FF0070C0"/>
        <sz val="11.0"/>
      </rPr>
      <t>PERSE</t>
    </r>
  </si>
  <si>
    <t>Settembre</t>
  </si>
  <si>
    <t>Ottobre</t>
  </si>
  <si>
    <t>Novembre</t>
  </si>
  <si>
    <t>Dicembre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</si>
  <si>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</si>
  <si>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</si>
  <si>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</si>
  <si>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</si>
  <si>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</si>
  <si>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</si>
  <si>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</si>
  <si>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</si>
  <si>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PRESENZE:</t>
  </si>
  <si>
    <t>n.g.</t>
  </si>
  <si>
    <t>TOT</t>
  </si>
  <si>
    <t>Partite:</t>
  </si>
  <si>
    <t>V</t>
  </si>
  <si>
    <t>N</t>
  </si>
  <si>
    <t>P</t>
  </si>
  <si>
    <t>T</t>
  </si>
  <si>
    <t>FABIO ETERE</t>
  </si>
  <si>
    <t>CLAUDIO H</t>
  </si>
  <si>
    <t>GOL</t>
  </si>
  <si>
    <t>totale per partita</t>
  </si>
  <si>
    <t>totale mensile</t>
  </si>
  <si>
    <t>ASSIST</t>
  </si>
  <si>
    <t>AUTOGOL</t>
  </si>
  <si>
    <t>RIASSUNTO STATISTICHE ANNO 2018/19 (aprile-agosto)</t>
  </si>
  <si>
    <t>20 partite totali</t>
  </si>
  <si>
    <r>
      <rPr>
        <rFont val="Calibri"/>
        <b/>
        <color theme="1"/>
        <sz val="11.0"/>
      </rPr>
      <t xml:space="preserve">21 </t>
    </r>
    <r>
      <rPr>
        <rFont val="Calibri"/>
        <b val="0"/>
        <color theme="1"/>
        <sz val="11.0"/>
      </rPr>
      <t>Giocatori</t>
    </r>
  </si>
  <si>
    <t>Presenze</t>
  </si>
  <si>
    <t>Gol</t>
  </si>
  <si>
    <t>Autogol</t>
  </si>
  <si>
    <t>Vinte</t>
  </si>
  <si>
    <t>Nulle</t>
  </si>
  <si>
    <t>Perse</t>
  </si>
  <si>
    <t>RECORD INDIVIDUALI:</t>
  </si>
  <si>
    <t>Più presente:</t>
  </si>
  <si>
    <t>BORO-MATTE</t>
  </si>
  <si>
    <t>Capocannoniere:</t>
  </si>
  <si>
    <t>BORO-SLEVA</t>
  </si>
  <si>
    <t>Più vittorioso (almeno 5 presenze):</t>
  </si>
  <si>
    <t>Più sconfitto (almeno 5 presenze):</t>
  </si>
  <si>
    <t>Più pareggi:</t>
  </si>
  <si>
    <t>LUCIANO, BORO, THOMAS, MATTE</t>
  </si>
  <si>
    <t>Meno sconfitto (almeno 5 presenze):</t>
  </si>
  <si>
    <t>Meno vittorioso (almeno 5 presenze):</t>
  </si>
  <si>
    <t>LUCIANO, PEDRO, NELLO, RICHI</t>
  </si>
  <si>
    <t>Più gol segnati in una partita:</t>
  </si>
  <si>
    <t>BORO (26 Luglio 2019)</t>
  </si>
  <si>
    <t>Più gol segnati in un mese:</t>
  </si>
  <si>
    <t>BORO (Luglio e Agosto), FEDE M., MATTE (Maggio), SLEVA (Giugno)</t>
  </si>
  <si>
    <t>Più autogol fatti:</t>
  </si>
  <si>
    <t>RICHI (Agosto)</t>
  </si>
  <si>
    <t>Vittorie consecutive:</t>
  </si>
  <si>
    <t>FABIO E.</t>
  </si>
  <si>
    <t>Sconfitte consecutive:</t>
  </si>
  <si>
    <t>LUCIANO, BORO, THOMAS, LIPPA</t>
  </si>
  <si>
    <t>FEDE C.</t>
  </si>
  <si>
    <t>RECORD GENERALI:</t>
  </si>
  <si>
    <t>Mese con più gol segnati:</t>
  </si>
  <si>
    <t>AGOSTO</t>
  </si>
  <si>
    <t>Partita con più gol:</t>
  </si>
  <si>
    <r>
      <rPr>
        <rFont val="Calibri"/>
        <b/>
        <color theme="1"/>
        <sz val="11.0"/>
      </rPr>
      <t xml:space="preserve">12 </t>
    </r>
    <r>
      <rPr>
        <rFont val="Calibri"/>
        <b val="0"/>
        <color theme="1"/>
        <sz val="11.0"/>
      </rPr>
      <t>v</t>
    </r>
    <r>
      <rPr>
        <rFont val="Calibri"/>
        <b/>
        <color theme="1"/>
        <sz val="11.0"/>
      </rPr>
      <t xml:space="preserve"> 12</t>
    </r>
  </si>
  <si>
    <t>(24 RETI) 26/07/2019</t>
  </si>
  <si>
    <t>STEFANO (Fede)</t>
  </si>
  <si>
    <t>Partita con meno gol:</t>
  </si>
  <si>
    <r>
      <rPr>
        <rFont val="Calibri"/>
        <b/>
        <color theme="1"/>
        <sz val="11.0"/>
      </rPr>
      <t xml:space="preserve">6 </t>
    </r>
    <r>
      <rPr>
        <rFont val="Calibri"/>
        <b val="0"/>
        <color theme="1"/>
        <sz val="11.0"/>
      </rPr>
      <t xml:space="preserve">v </t>
    </r>
    <r>
      <rPr>
        <rFont val="Calibri"/>
        <b/>
        <color theme="1"/>
        <sz val="11.0"/>
      </rPr>
      <t>2</t>
    </r>
  </si>
  <si>
    <t>(8 RETI) 17 e 24 maggio 2019</t>
  </si>
  <si>
    <t>Totale gol fatti nell'anno:</t>
  </si>
  <si>
    <t>(di cui 5 autogol)</t>
  </si>
  <si>
    <t>Più gol segnati da una squadra:</t>
  </si>
  <si>
    <t>26/7 (da entrambe le squadre)</t>
  </si>
  <si>
    <t>Totale partite giocate:</t>
  </si>
  <si>
    <t>RIASSUNTO STATISTICHE ANNO 2019/20 (settembre-agosto)*</t>
  </si>
  <si>
    <t>32 partite totali</t>
  </si>
  <si>
    <t>*dal 29 febbraio al 18 luglio non si è giocato causa Covid</t>
  </si>
  <si>
    <r>
      <rPr>
        <rFont val="Calibri"/>
        <b/>
        <color theme="1"/>
        <sz val="11.0"/>
      </rPr>
      <t>24</t>
    </r>
    <r>
      <rPr>
        <rFont val="Calibri"/>
        <color theme="1"/>
        <sz val="11.0"/>
      </rPr>
      <t xml:space="preserve"> Giocatori</t>
    </r>
  </si>
  <si>
    <t>Assist</t>
  </si>
  <si>
    <t>Best Gol</t>
  </si>
  <si>
    <t>Assistman:</t>
  </si>
  <si>
    <t>MASSI, LUCIANO, BORO, MATTE</t>
  </si>
  <si>
    <t>SLEVA (3/1/20)</t>
  </si>
  <si>
    <t>SLEVA (gennaio)</t>
  </si>
  <si>
    <t>Più MVP ottenuti:</t>
  </si>
  <si>
    <t>Più volte Best Gol:</t>
  </si>
  <si>
    <t>STEFANO (Afro)</t>
  </si>
  <si>
    <t>NOVEMBRE</t>
  </si>
  <si>
    <t>8 vs 13</t>
  </si>
  <si>
    <t>(21 RETI) 6/9/19 e 28/2/20</t>
  </si>
  <si>
    <t>2 vs 4</t>
  </si>
  <si>
    <t>(6 RETI) 24/7/20</t>
  </si>
  <si>
    <t>(di cui 13 autogol)</t>
  </si>
  <si>
    <t>6/9/19 e 28/2/20</t>
  </si>
  <si>
    <t>RIASSUNTO STATISTICHE ANNO 2020/21 (settembre-ottobre/aprile-agosto)</t>
  </si>
  <si>
    <r>
      <rPr>
        <rFont val="Calibri"/>
        <b/>
        <color theme="1"/>
        <sz val="11.0"/>
      </rPr>
      <t>32</t>
    </r>
    <r>
      <rPr>
        <rFont val="Calibri"/>
        <color theme="1"/>
        <sz val="11.0"/>
      </rPr>
      <t xml:space="preserve"> giocatori</t>
    </r>
  </si>
  <si>
    <t>FEDE M., THOMAS</t>
  </si>
  <si>
    <t>MARCELLO, FABIO E., GABBO</t>
  </si>
  <si>
    <t>THOMAS, LIPPA, BORO, FABIO E.</t>
  </si>
  <si>
    <t>PISCO (3/6/2021)</t>
  </si>
  <si>
    <t>BIONDO (giugno 2021)</t>
  </si>
  <si>
    <t>FEDE M., MATTE, THOMAS, LUCIANO, FEDE T.</t>
  </si>
  <si>
    <t>FEDE M., BIK</t>
  </si>
  <si>
    <t>JACK, THOMAS</t>
  </si>
  <si>
    <t>GIUGNO</t>
  </si>
  <si>
    <r>
      <rPr>
        <rFont val="Calibri"/>
        <b/>
        <color theme="1"/>
        <sz val="11.0"/>
      </rPr>
      <t xml:space="preserve">8 vs 8 </t>
    </r>
    <r>
      <rPr>
        <rFont val="Calibri"/>
        <b val="0"/>
        <color theme="1"/>
        <sz val="11.0"/>
      </rPr>
      <t xml:space="preserve">(3/6/21) e </t>
    </r>
    <r>
      <rPr>
        <rFont val="Calibri"/>
        <b/>
        <color theme="1"/>
        <sz val="11.0"/>
      </rPr>
      <t>9 vs 7</t>
    </r>
    <r>
      <rPr>
        <rFont val="Calibri"/>
        <b val="0"/>
        <color theme="1"/>
        <sz val="11.0"/>
      </rPr>
      <t xml:space="preserve"> (10/8/21) -&gt; 16 reti</t>
    </r>
  </si>
  <si>
    <t>3 vs 2</t>
  </si>
  <si>
    <t>5 reti (6/5/21)</t>
  </si>
  <si>
    <t>22/6/21 e 10/8/21</t>
  </si>
  <si>
    <t>RIASSUNTO STATISTICHE ANNO 2021/22 (settembre-agosto)</t>
  </si>
  <si>
    <r>
      <rPr>
        <rFont val="Calibri"/>
        <b/>
        <color theme="1"/>
        <sz val="11.0"/>
      </rPr>
      <t>35</t>
    </r>
    <r>
      <rPr>
        <rFont val="Calibri"/>
        <color theme="1"/>
        <sz val="11.0"/>
      </rPr>
      <t xml:space="preserve"> Giocatori</t>
    </r>
  </si>
  <si>
    <t>PAVOLETTI, SAMUELE</t>
  </si>
  <si>
    <t>RAFFA, GABBO, FEDE T, MANUEL</t>
  </si>
  <si>
    <t>LIPPA (5 luglio), SLEVA (15 marzo), SPIGA (5 aprile)</t>
  </si>
  <si>
    <t>SLEVA (marzo)</t>
  </si>
  <si>
    <t>MASSI, LUCIANO, THOMAS, MARCELLO, SANTI</t>
  </si>
  <si>
    <t>FEDE M, THOMAS, LUCIANO</t>
  </si>
  <si>
    <t>MARZO</t>
  </si>
  <si>
    <t>(11 a 11)</t>
  </si>
  <si>
    <t>(del 29/11/2021)</t>
  </si>
  <si>
    <t>(in 5 occasioni)</t>
  </si>
  <si>
    <t>(di cui 16 autogol)</t>
  </si>
  <si>
    <t>(in 6 occasioni)</t>
  </si>
  <si>
    <t>SABBA (Thomas)</t>
  </si>
  <si>
    <t>MARCO (Bik)</t>
  </si>
  <si>
    <t>GMG (Bik)</t>
  </si>
  <si>
    <t>FABIO (Bik)</t>
  </si>
  <si>
    <t>non chiaro</t>
  </si>
  <si>
    <t>RIASSUNTO STATISTICHE ANNO 2022/23 (settembre-agosto)</t>
  </si>
  <si>
    <r>
      <rPr>
        <rFont val="Calibri"/>
        <b/>
        <color theme="1"/>
        <sz val="11.0"/>
      </rPr>
      <t>29</t>
    </r>
    <r>
      <rPr>
        <rFont val="Calibri"/>
        <color theme="1"/>
        <sz val="11.0"/>
      </rPr>
      <t xml:space="preserve"> Giocatori</t>
    </r>
  </si>
  <si>
    <t>THOMAS, CRISTIAN</t>
  </si>
  <si>
    <t>GABBO, BIONDO</t>
  </si>
  <si>
    <t>MASSI (1 volta), DANI (4 volte), LIPPA (1 volta)</t>
  </si>
  <si>
    <t>DANI (marzo)</t>
  </si>
  <si>
    <t>MASSI, LUCIANO, NELLO</t>
  </si>
  <si>
    <t>DANI (dal 23 maggio al 27 giugno)</t>
  </si>
  <si>
    <t>VALERIO (dal 9 al 30 maggio)</t>
  </si>
  <si>
    <t>(10-8)</t>
  </si>
  <si>
    <t>(1-1)</t>
  </si>
  <si>
    <t>(12-3)</t>
  </si>
  <si>
    <t>Meno gol segnati da una squadra:</t>
  </si>
  <si>
    <t>(0-5)</t>
  </si>
  <si>
    <t>RIASSUNTO STATISTICHE ANNO 2023/24 (settembre-agosto)</t>
  </si>
  <si>
    <r>
      <rPr>
        <rFont val="Calibri"/>
        <b/>
        <color theme="1"/>
        <sz val="11.0"/>
      </rPr>
      <t xml:space="preserve">30 </t>
    </r>
    <r>
      <rPr>
        <rFont val="Calibri"/>
        <color theme="1"/>
        <sz val="11.0"/>
      </rPr>
      <t>Giocatori</t>
    </r>
  </si>
  <si>
    <t>Più vittorioso (almeno 10 presenze):</t>
  </si>
  <si>
    <t>FEDE M, THOMAS</t>
  </si>
  <si>
    <t>Più sconfitto (almeno 10 presenze):</t>
  </si>
  <si>
    <t>FEDE M, DANI</t>
  </si>
  <si>
    <t>Meno sconfitto (almeno 10 presenze):</t>
  </si>
  <si>
    <t>Meno vittorioso (almeno 10 presenze):</t>
  </si>
  <si>
    <t>BIK (25 giugno)</t>
  </si>
  <si>
    <t>LIPPA (luglio)</t>
  </si>
  <si>
    <t>FEDE M, LUCIANO, THOMAS, SALMI</t>
  </si>
  <si>
    <t>BIK (dal 10 gennaio al 13 febbraio)</t>
  </si>
  <si>
    <t>DANI (dal 17 ottobre al 21 novembre)</t>
  </si>
  <si>
    <t>LUGLIO</t>
  </si>
  <si>
    <t>(10-6)</t>
  </si>
  <si>
    <t>(2-1)</t>
  </si>
  <si>
    <t>(di cui 15 autoreti)</t>
  </si>
  <si>
    <t>Giocatori partecipanti:</t>
  </si>
  <si>
    <t>RIASSUNTO STATISTICHE ANNO 2024/25 (settembre-agosto)</t>
  </si>
  <si>
    <r>
      <rPr>
        <rFont val="Calibri"/>
        <b/>
        <color theme="1"/>
        <sz val="11.0"/>
      </rPr>
      <t xml:space="preserve">26 </t>
    </r>
    <r>
      <rPr>
        <rFont val="Calibri"/>
        <color theme="1"/>
        <sz val="11.0"/>
      </rPr>
      <t>Giocatori</t>
    </r>
  </si>
  <si>
    <t>FEDE M, LUCIANO</t>
  </si>
  <si>
    <t>FEDE M, THOMAS, LIPPA</t>
  </si>
  <si>
    <t>PAVOLETTI (17 settembre)</t>
  </si>
  <si>
    <t>DANI (ottobre e aprile), SALMI (aprile)</t>
  </si>
  <si>
    <t>LUCIANO (dal 1 ottobre al 3 dicembre)</t>
  </si>
  <si>
    <t>FEDE M ( dal 1 ottobre al 19 novembre)</t>
  </si>
  <si>
    <t>FABIO GLADIAT.</t>
  </si>
  <si>
    <t>OTTOBRE</t>
  </si>
  <si>
    <t>(10-8 del 17 settembre)</t>
  </si>
  <si>
    <t>(2-2 del 14 gennaio) e (1-3 del 17 giugno)</t>
  </si>
  <si>
    <t>(17 settembre, "10-8" e 23 dicembre, "10-5")</t>
  </si>
  <si>
    <t>(28 gennaio, 7-0)</t>
  </si>
  <si>
    <t>(3 non giocate: 10 dicembre, 1 luglio, 12 agosto)</t>
  </si>
  <si>
    <t>ANDREA</t>
  </si>
  <si>
    <t>RIEPILOGO DELLE STATISTICHE DELLA STAGIONE 2024/25 (settembre-agosto)</t>
  </si>
  <si>
    <t>NB: al di sotto della linea nera, ci sono quelli che hanno giocato meno di 10 partite nella stagione</t>
  </si>
  <si>
    <t>PRESENZE</t>
  </si>
  <si>
    <t>VITTORIE</t>
  </si>
  <si>
    <t>PAREGGI</t>
  </si>
  <si>
    <t>SCONFITTE</t>
  </si>
  <si>
    <t>AUTORETI</t>
  </si>
  <si>
    <t>FABIO GLAD</t>
  </si>
  <si>
    <t>FABIO GLAD.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</si>
</sst>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10]mmmm\-yy"/>
    <numFmt numFmtId="165" formatCode="[$-410]d\-mmm"/>
    <numFmt numFmtId="166" formatCode="d/m"/>
  </numFmts>
  <fonts count="52">
    <font>
      <sz val="11.0"/>
      <color theme="1"/>
      <name val="Calibri"/>
      <scheme val="minor"/>
    </font>
    <font>
      <b/>
      <sz val="28.0"/>
      <color theme="0"/>
      <name val="Calibri"/>
    </font>
    <font/>
    <font>
      <sz val="28.0"/>
      <color theme="1"/>
      <name val="Calibri"/>
    </font>
    <font>
      <b/>
      <sz val="14.0"/>
      <color theme="0"/>
      <name val="Calibri"/>
    </font>
    <font>
      <sz val="11.0"/>
      <color theme="1"/>
      <name val="Calibri"/>
    </font>
    <font>
      <b/>
      <sz val="10.0"/>
      <color theme="1"/>
      <name val="Calibri"/>
    </font>
    <font>
      <b/>
      <sz val="12.0"/>
      <color rgb="FFFF0000"/>
      <name val="Calibri"/>
    </font>
    <font>
      <b/>
      <sz val="18.0"/>
      <color theme="0"/>
      <name val="Calibri"/>
    </font>
    <font>
      <b/>
      <sz val="18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2.0"/>
      <color theme="0"/>
      <name val="Calibri"/>
    </font>
    <font>
      <color theme="1"/>
      <name val="Calibri"/>
      <scheme val="minor"/>
    </font>
    <font>
      <sz val="10.0"/>
      <color theme="0"/>
      <name val="Calibri"/>
    </font>
    <font>
      <b/>
      <sz val="10.0"/>
      <color theme="0"/>
      <name val="Calibri"/>
    </font>
    <font>
      <b/>
      <sz val="12.0"/>
      <color theme="1"/>
      <name val="Calibri"/>
    </font>
    <font>
      <b/>
      <sz val="11.0"/>
      <color rgb="FFFFC000"/>
      <name val="Calibri"/>
    </font>
    <font>
      <b/>
      <sz val="11.0"/>
      <color rgb="FFFF0000"/>
      <name val="Calibri"/>
    </font>
    <font>
      <b/>
      <sz val="11.0"/>
      <color rgb="FFFABF8F"/>
      <name val="Calibri"/>
    </font>
    <font>
      <sz val="11.0"/>
      <color theme="0"/>
      <name val="Calibri"/>
    </font>
    <font>
      <b/>
      <sz val="11.0"/>
      <color theme="9"/>
      <name val="Calibri"/>
    </font>
    <font>
      <sz val="12.0"/>
      <color rgb="FFFF0000"/>
      <name val="Calibri"/>
    </font>
    <font>
      <sz val="9.0"/>
      <color theme="0"/>
      <name val="Calibri"/>
    </font>
    <font>
      <sz val="14.0"/>
      <color theme="0"/>
      <name val="Calibri"/>
    </font>
    <font>
      <b/>
      <sz val="9.0"/>
      <color rgb="FFFF0000"/>
      <name val="Calibri"/>
    </font>
    <font>
      <b/>
      <sz val="8.0"/>
      <color theme="0"/>
      <name val="Calibri"/>
    </font>
    <font>
      <sz val="8.0"/>
      <color theme="1"/>
      <name val="Calibri"/>
    </font>
    <font>
      <sz val="9.0"/>
      <color theme="1"/>
      <name val="Calibri"/>
    </font>
    <font>
      <b/>
      <sz val="24.0"/>
      <color theme="1"/>
      <name val="Calibri"/>
    </font>
    <font>
      <sz val="11.0"/>
      <color rgb="FF002060"/>
      <name val="Calibri"/>
    </font>
    <font>
      <b/>
      <sz val="11.0"/>
      <color rgb="FF00B050"/>
      <name val="Calibri"/>
    </font>
    <font>
      <b/>
      <sz val="11.0"/>
      <color rgb="FF0070C0"/>
      <name val="Calibri"/>
    </font>
    <font>
      <b/>
      <sz val="8.0"/>
      <color theme="1"/>
      <name val="Calibri"/>
    </font>
    <font>
      <b/>
      <sz val="11.0"/>
      <color rgb="FF002060"/>
      <name val="Calibri"/>
    </font>
    <font>
      <i/>
      <sz val="10.0"/>
      <color theme="1"/>
      <name val="Calibri"/>
    </font>
    <font>
      <b/>
      <sz val="11.0"/>
      <color rgb="FF974806"/>
      <name val="Calibri"/>
    </font>
    <font>
      <b/>
      <sz val="16.0"/>
      <color theme="0"/>
      <name val="Calibri"/>
    </font>
    <font>
      <i/>
      <sz val="16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1.0"/>
      <color rgb="FF0070C0"/>
      <name val="Calibri"/>
    </font>
    <font>
      <sz val="11.0"/>
      <color rgb="FF00B050"/>
      <name val="Calibri"/>
    </font>
    <font>
      <sz val="20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17.0"/>
      <color rgb="FFFF0000"/>
      <name val="Calibri"/>
    </font>
    <font>
      <b/>
      <sz val="17.0"/>
      <color rgb="FF00B050"/>
      <name val="Calibri"/>
    </font>
    <font>
      <b/>
      <sz val="17.0"/>
      <color rgb="FF0070C0"/>
      <name val="Calibri"/>
    </font>
    <font>
      <b/>
      <sz val="13.0"/>
      <color theme="1"/>
      <name val="Calibri"/>
    </font>
    <font>
      <sz val="22.0"/>
      <color theme="1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002060"/>
        <bgColor rgb="FF002060"/>
      </patternFill>
    </fill>
    <fill>
      <patternFill patternType="solid">
        <fgColor rgb="FFFABF8F"/>
        <bgColor rgb="FFFABF8F"/>
      </patternFill>
    </fill>
    <fill>
      <patternFill patternType="solid">
        <fgColor rgb="FFFFCC99"/>
        <bgColor rgb="FFFFCC99"/>
      </patternFill>
    </fill>
    <fill>
      <patternFill patternType="solid">
        <fgColor rgb="FF92D050"/>
        <bgColor rgb="FF92D050"/>
      </patternFill>
    </fill>
    <fill>
      <patternFill patternType="solid">
        <fgColor rgb="FF953734"/>
        <bgColor rgb="FF953734"/>
      </patternFill>
    </fill>
    <fill>
      <patternFill patternType="solid">
        <fgColor rgb="FF7F7F7F"/>
        <bgColor rgb="FF7F7F7F"/>
      </patternFill>
    </fill>
    <fill>
      <patternFill patternType="solid">
        <fgColor rgb="FFDBE5F1"/>
        <bgColor rgb="FFDBE5F1"/>
      </patternFill>
    </fill>
    <fill>
      <patternFill patternType="solid">
        <fgColor rgb="FFFFFFCC"/>
        <bgColor rgb="FFFFFFCC"/>
      </patternFill>
    </fill>
    <fill>
      <patternFill patternType="solid">
        <fgColor rgb="FFCCECFF"/>
        <bgColor rgb="FFCCECFF"/>
      </patternFill>
    </fill>
    <fill>
      <patternFill patternType="solid">
        <fgColor rgb="FFCCFFCC"/>
        <bgColor rgb="FFCCFFCC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FFFF66"/>
        <bgColor rgb="FFFFFF66"/>
      </patternFill>
    </fill>
    <fill>
      <patternFill patternType="solid">
        <fgColor rgb="FFE36C09"/>
        <bgColor rgb="FFE36C09"/>
      </patternFill>
    </fill>
    <fill>
      <patternFill patternType="solid">
        <fgColor rgb="FF974806"/>
        <bgColor rgb="FF974806"/>
      </patternFill>
    </fill>
    <fill>
      <patternFill patternType="solid">
        <fgColor rgb="FFFFCC66"/>
        <bgColor rgb="FFFFCC66"/>
      </patternFill>
    </fill>
    <fill>
      <patternFill patternType="solid">
        <fgColor rgb="FFFDE9D9"/>
        <bgColor rgb="FFFDE9D9"/>
      </patternFill>
    </fill>
    <fill>
      <patternFill patternType="solid">
        <fgColor rgb="FFFFFF99"/>
        <bgColor rgb="FFFFFF99"/>
      </patternFill>
    </fill>
  </fills>
  <borders count="5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ck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right style="thick">
        <color rgb="FF00B050"/>
      </right>
      <top style="thin">
        <color rgb="FF000000"/>
      </top>
      <bottom style="thin">
        <color rgb="FF000000"/>
      </bottom>
    </border>
    <border>
      <left style="thick">
        <color rgb="FF00B050"/>
      </left>
      <top style="thin">
        <color rgb="FF000000"/>
      </top>
      <bottom style="thin">
        <color rgb="FF000000"/>
      </bottom>
    </border>
    <border>
      <left style="thick">
        <color rgb="FF00B05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</borders>
  <cellStyleXfs count="1">
    <xf borderId="0" fillId="0" fontId="0" numFmtId="0" applyAlignment="1" applyFont="1"/>
  </cellStyleXfs>
  <cellXfs count="4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0" fillId="0" fontId="3" numFmtId="0" xfId="0" applyFont="1"/>
    <xf borderId="4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1" fillId="3" fontId="4" numFmtId="164" xfId="0" applyAlignment="1" applyBorder="1" applyFill="1" applyFont="1" applyNumberFormat="1">
      <alignment horizontal="center" vertical="center"/>
    </xf>
    <xf borderId="5" fillId="2" fontId="4" numFmtId="0" xfId="0" applyAlignment="1" applyBorder="1" applyFont="1">
      <alignment horizontal="center" vertical="center"/>
    </xf>
    <xf borderId="1" fillId="0" fontId="5" numFmtId="165" xfId="0" applyAlignment="1" applyBorder="1" applyFont="1" applyNumberForma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5" fontId="8" numFmtId="0" xfId="0" applyAlignment="1" applyBorder="1" applyFill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/>
    </xf>
    <xf borderId="7" fillId="0" fontId="2" numFmtId="0" xfId="0" applyBorder="1" applyFont="1"/>
    <xf borderId="8" fillId="5" fontId="10" numFmtId="0" xfId="0" applyAlignment="1" applyBorder="1" applyFont="1">
      <alignment horizontal="center"/>
    </xf>
    <xf borderId="9" fillId="0" fontId="5" numFmtId="0" xfId="0" applyAlignment="1" applyBorder="1" applyFont="1">
      <alignment horizontal="center"/>
    </xf>
    <xf borderId="10" fillId="0" fontId="2" numFmtId="0" xfId="0" applyBorder="1" applyFont="1"/>
    <xf borderId="11" fillId="0" fontId="11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12" fillId="5" fontId="10" numFmtId="0" xfId="0" applyAlignment="1" applyBorder="1" applyFont="1">
      <alignment horizontal="center"/>
    </xf>
    <xf borderId="13" fillId="0" fontId="2" numFmtId="0" xfId="0" applyBorder="1" applyFont="1"/>
    <xf borderId="14" fillId="0" fontId="5" numFmtId="0" xfId="0" applyAlignment="1" applyBorder="1" applyFont="1">
      <alignment horizontal="center"/>
    </xf>
    <xf borderId="15" fillId="0" fontId="2" numFmtId="0" xfId="0" applyBorder="1" applyFont="1"/>
    <xf borderId="16" fillId="0" fontId="11" numFmtId="0" xfId="0" applyAlignment="1" applyBorder="1" applyFont="1">
      <alignment horizontal="center"/>
    </xf>
    <xf borderId="17" fillId="5" fontId="10" numFmtId="0" xfId="0" applyAlignment="1" applyBorder="1" applyFont="1">
      <alignment horizontal="center"/>
    </xf>
    <xf borderId="18" fillId="0" fontId="2" numFmtId="0" xfId="0" applyBorder="1" applyFont="1"/>
    <xf borderId="19" fillId="5" fontId="10" numFmtId="0" xfId="0" applyAlignment="1" applyBorder="1" applyFont="1">
      <alignment horizontal="center"/>
    </xf>
    <xf borderId="20" fillId="0" fontId="5" numFmtId="0" xfId="0" applyAlignment="1" applyBorder="1" applyFont="1">
      <alignment horizontal="center"/>
    </xf>
    <xf borderId="21" fillId="0" fontId="2" numFmtId="0" xfId="0" applyBorder="1" applyFont="1"/>
    <xf borderId="22" fillId="0" fontId="11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4" fillId="0" fontId="13" numFmtId="17" xfId="0" applyBorder="1" applyFont="1" applyNumberFormat="1"/>
    <xf borderId="0" fillId="0" fontId="13" numFmtId="17" xfId="0" applyFont="1" applyNumberFormat="1"/>
    <xf borderId="0" fillId="0" fontId="5" numFmtId="0" xfId="0" applyFont="1"/>
    <xf borderId="1" fillId="3" fontId="8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/>
    </xf>
    <xf borderId="8" fillId="3" fontId="10" numFmtId="0" xfId="0" applyAlignment="1" applyBorder="1" applyFont="1">
      <alignment horizontal="center"/>
    </xf>
    <xf borderId="12" fillId="3" fontId="10" numFmtId="0" xfId="0" applyAlignment="1" applyBorder="1" applyFont="1">
      <alignment horizontal="center"/>
    </xf>
    <xf borderId="17" fillId="3" fontId="10" numFmtId="0" xfId="0" applyAlignment="1" applyBorder="1" applyFont="1">
      <alignment horizontal="center"/>
    </xf>
    <xf borderId="19" fillId="3" fontId="10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23" fillId="0" fontId="2" numFmtId="0" xfId="0" applyBorder="1" applyFont="1"/>
    <xf borderId="14" fillId="0" fontId="11" numFmtId="0" xfId="0" applyBorder="1" applyFont="1"/>
    <xf borderId="0" fillId="0" fontId="11" numFmtId="0" xfId="0" applyFont="1"/>
    <xf borderId="6" fillId="4" fontId="5" numFmtId="0" xfId="0" applyAlignment="1" applyBorder="1" applyFont="1">
      <alignment horizontal="center"/>
    </xf>
    <xf borderId="17" fillId="4" fontId="7" numFmtId="0" xfId="0" applyAlignment="1" applyBorder="1" applyFont="1">
      <alignment horizontal="center"/>
    </xf>
    <xf borderId="1" fillId="4" fontId="11" numFmtId="0" xfId="0" applyAlignment="1" applyBorder="1" applyFont="1">
      <alignment horizontal="center" vertical="center"/>
    </xf>
    <xf borderId="0" fillId="0" fontId="14" numFmtId="0" xfId="0" applyFont="1"/>
    <xf borderId="1" fillId="5" fontId="15" numFmtId="0" xfId="0" applyAlignment="1" applyBorder="1" applyFont="1">
      <alignment horizontal="center"/>
    </xf>
    <xf borderId="24" fillId="5" fontId="10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1" fillId="0" fontId="5" numFmtId="15" xfId="0" applyAlignment="1" applyBorder="1" applyFont="1" applyNumberFormat="1">
      <alignment horizontal="center" vertical="center"/>
    </xf>
    <xf borderId="25" fillId="0" fontId="5" numFmtId="0" xfId="0" applyBorder="1" applyFont="1"/>
    <xf borderId="26" fillId="5" fontId="16" numFmtId="0" xfId="0" applyAlignment="1" applyBorder="1" applyFont="1">
      <alignment horizontal="center" vertical="center"/>
    </xf>
    <xf borderId="5" fillId="5" fontId="13" numFmtId="0" xfId="0" applyAlignment="1" applyBorder="1" applyFont="1">
      <alignment horizontal="center" vertical="center"/>
    </xf>
    <xf borderId="27" fillId="5" fontId="13" numFmtId="0" xfId="0" applyAlignment="1" applyBorder="1" applyFont="1">
      <alignment horizontal="center" vertical="center"/>
    </xf>
    <xf borderId="9" fillId="0" fontId="9" numFmtId="0" xfId="0" applyAlignment="1" applyBorder="1" applyFont="1">
      <alignment horizontal="center" vertical="center"/>
    </xf>
    <xf borderId="9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26" fillId="5" fontId="8" numFmtId="0" xfId="0" applyAlignment="1" applyBorder="1" applyFont="1">
      <alignment horizontal="center" vertical="center"/>
    </xf>
    <xf borderId="26" fillId="5" fontId="10" numFmtId="0" xfId="0" applyAlignment="1" applyBorder="1" applyFont="1">
      <alignment horizontal="center"/>
    </xf>
    <xf borderId="28" fillId="5" fontId="18" numFmtId="0" xfId="0" applyAlignment="1" applyBorder="1" applyFont="1">
      <alignment horizontal="center"/>
    </xf>
    <xf borderId="8" fillId="5" fontId="15" numFmtId="0" xfId="0" applyAlignment="1" applyBorder="1" applyFont="1">
      <alignment horizontal="center"/>
    </xf>
    <xf borderId="11" fillId="0" fontId="19" numFmtId="0" xfId="0" applyAlignment="1" applyBorder="1" applyFont="1">
      <alignment horizontal="center"/>
    </xf>
    <xf borderId="11" fillId="0" fontId="12" numFmtId="0" xfId="0" applyAlignment="1" applyBorder="1" applyFont="1">
      <alignment horizontal="center"/>
    </xf>
    <xf borderId="29" fillId="5" fontId="10" numFmtId="0" xfId="0" applyAlignment="1" applyBorder="1" applyFont="1">
      <alignment horizontal="center"/>
    </xf>
    <xf borderId="30" fillId="5" fontId="18" numFmtId="0" xfId="0" applyAlignment="1" applyBorder="1" applyFont="1">
      <alignment horizontal="center"/>
    </xf>
    <xf borderId="16" fillId="0" fontId="19" numFmtId="0" xfId="0" applyAlignment="1" applyBorder="1" applyFont="1">
      <alignment horizontal="center"/>
    </xf>
    <xf borderId="16" fillId="0" fontId="12" numFmtId="0" xfId="0" applyAlignment="1" applyBorder="1" applyFont="1">
      <alignment horizontal="center"/>
    </xf>
    <xf borderId="8" fillId="5" fontId="16" numFmtId="0" xfId="0" applyAlignment="1" applyBorder="1" applyFont="1">
      <alignment horizontal="center"/>
    </xf>
    <xf borderId="31" fillId="5" fontId="10" numFmtId="0" xfId="0" applyAlignment="1" applyBorder="1" applyFont="1">
      <alignment horizontal="center"/>
    </xf>
    <xf borderId="24" fillId="5" fontId="18" numFmtId="0" xfId="0" applyAlignment="1" applyBorder="1" applyFont="1">
      <alignment horizontal="center"/>
    </xf>
    <xf borderId="19" fillId="5" fontId="16" numFmtId="0" xfId="0" applyAlignment="1" applyBorder="1" applyFont="1">
      <alignment horizontal="center"/>
    </xf>
    <xf borderId="22" fillId="0" fontId="19" numFmtId="0" xfId="0" applyAlignment="1" applyBorder="1" applyFont="1">
      <alignment horizontal="center"/>
    </xf>
    <xf borderId="22" fillId="0" fontId="12" numFmtId="0" xfId="0" applyAlignment="1" applyBorder="1" applyFont="1">
      <alignment horizontal="center"/>
    </xf>
    <xf borderId="19" fillId="5" fontId="15" numFmtId="0" xfId="0" applyAlignment="1" applyBorder="1" applyFont="1">
      <alignment horizontal="center"/>
    </xf>
    <xf borderId="32" fillId="6" fontId="11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5" fillId="5" fontId="10" numFmtId="0" xfId="0" applyBorder="1" applyFont="1"/>
    <xf borderId="27" fillId="5" fontId="15" numFmtId="0" xfId="0" applyBorder="1" applyFont="1"/>
    <xf borderId="5" fillId="0" fontId="5" numFmtId="0" xfId="0" applyBorder="1" applyFont="1"/>
    <xf borderId="5" fillId="0" fontId="19" numFmtId="0" xfId="0" applyAlignment="1" applyBorder="1" applyFont="1">
      <alignment horizontal="center"/>
    </xf>
    <xf borderId="3" fillId="0" fontId="12" numFmtId="0" xfId="0" applyBorder="1" applyFont="1"/>
    <xf borderId="4" fillId="0" fontId="5" numFmtId="0" xfId="0" applyBorder="1" applyFont="1"/>
    <xf borderId="4" fillId="0" fontId="7" numFmtId="0" xfId="0" applyBorder="1" applyFont="1"/>
    <xf borderId="17" fillId="4" fontId="5" numFmtId="0" xfId="0" applyAlignment="1" applyBorder="1" applyFont="1">
      <alignment horizontal="center"/>
    </xf>
    <xf borderId="33" fillId="0" fontId="2" numFmtId="0" xfId="0" applyBorder="1" applyFont="1"/>
    <xf borderId="26" fillId="3" fontId="8" numFmtId="0" xfId="0" applyAlignment="1" applyBorder="1" applyFont="1">
      <alignment horizontal="center" vertical="center"/>
    </xf>
    <xf borderId="26" fillId="3" fontId="13" numFmtId="0" xfId="0" applyAlignment="1" applyBorder="1" applyFont="1">
      <alignment horizontal="center" vertical="center"/>
    </xf>
    <xf borderId="5" fillId="3" fontId="13" numFmtId="0" xfId="0" applyAlignment="1" applyBorder="1" applyFont="1">
      <alignment horizontal="center" vertical="center"/>
    </xf>
    <xf borderId="26" fillId="3" fontId="10" numFmtId="0" xfId="0" applyAlignment="1" applyBorder="1" applyFont="1">
      <alignment horizontal="center"/>
    </xf>
    <xf borderId="28" fillId="3" fontId="10" numFmtId="0" xfId="0" applyAlignment="1" applyBorder="1" applyFont="1">
      <alignment horizontal="center"/>
    </xf>
    <xf borderId="28" fillId="3" fontId="15" numFmtId="0" xfId="0" applyAlignment="1" applyBorder="1" applyFont="1">
      <alignment horizontal="center"/>
    </xf>
    <xf borderId="29" fillId="3" fontId="10" numFmtId="0" xfId="0" applyAlignment="1" applyBorder="1" applyFont="1">
      <alignment horizontal="center"/>
    </xf>
    <xf borderId="30" fillId="3" fontId="10" numFmtId="0" xfId="0" applyAlignment="1" applyBorder="1" applyFont="1">
      <alignment horizontal="center"/>
    </xf>
    <xf borderId="30" fillId="3" fontId="15" numFmtId="0" xfId="0" applyAlignment="1" applyBorder="1" applyFont="1">
      <alignment horizontal="center"/>
    </xf>
    <xf borderId="31" fillId="3" fontId="10" numFmtId="0" xfId="0" applyAlignment="1" applyBorder="1" applyFont="1">
      <alignment horizontal="center"/>
    </xf>
    <xf borderId="24" fillId="3" fontId="10" numFmtId="0" xfId="0" applyAlignment="1" applyBorder="1" applyFont="1">
      <alignment horizontal="center"/>
    </xf>
    <xf borderId="24" fillId="3" fontId="15" numFmtId="0" xfId="0" applyAlignment="1" applyBorder="1" applyFont="1">
      <alignment horizontal="center"/>
    </xf>
    <xf borderId="31" fillId="5" fontId="18" numFmtId="0" xfId="0" applyAlignment="1" applyBorder="1" applyFont="1">
      <alignment horizontal="center"/>
    </xf>
    <xf borderId="5" fillId="5" fontId="15" numFmtId="0" xfId="0" applyAlignment="1" applyBorder="1" applyFont="1">
      <alignment horizontal="center"/>
    </xf>
    <xf borderId="32" fillId="3" fontId="10" numFmtId="0" xfId="0" applyAlignment="1" applyBorder="1" applyFont="1">
      <alignment horizontal="center"/>
    </xf>
    <xf borderId="5" fillId="3" fontId="10" numFmtId="0" xfId="0" applyAlignment="1" applyBorder="1" applyFont="1">
      <alignment horizontal="center"/>
    </xf>
    <xf borderId="5" fillId="3" fontId="15" numFmtId="0" xfId="0" applyAlignment="1" applyBorder="1" applyFont="1">
      <alignment horizontal="center"/>
    </xf>
    <xf borderId="28" fillId="5" fontId="20" numFmtId="0" xfId="0" applyAlignment="1" applyBorder="1" applyFont="1">
      <alignment horizontal="center"/>
    </xf>
    <xf borderId="8" fillId="5" fontId="21" numFmtId="0" xfId="0" applyAlignment="1" applyBorder="1" applyFont="1">
      <alignment horizontal="center"/>
    </xf>
    <xf borderId="34" fillId="3" fontId="16" numFmtId="0" xfId="0" applyAlignment="1" applyBorder="1" applyFont="1">
      <alignment horizontal="center"/>
    </xf>
    <xf borderId="30" fillId="5" fontId="20" numFmtId="0" xfId="0" applyAlignment="1" applyBorder="1" applyFont="1">
      <alignment horizontal="center"/>
    </xf>
    <xf borderId="8" fillId="3" fontId="16" numFmtId="0" xfId="0" applyAlignment="1" applyBorder="1" applyFont="1">
      <alignment horizontal="center"/>
    </xf>
    <xf borderId="30" fillId="5" fontId="22" numFmtId="0" xfId="0" applyAlignment="1" applyBorder="1" applyFont="1">
      <alignment horizontal="center"/>
    </xf>
    <xf borderId="30" fillId="3" fontId="21" numFmtId="0" xfId="0" applyAlignment="1" applyBorder="1" applyFont="1">
      <alignment horizontal="center"/>
    </xf>
    <xf borderId="8" fillId="3" fontId="15" numFmtId="0" xfId="0" applyAlignment="1" applyBorder="1" applyFont="1">
      <alignment horizontal="center"/>
    </xf>
    <xf borderId="24" fillId="5" fontId="10" numFmtId="0" xfId="0" applyBorder="1" applyFont="1"/>
    <xf borderId="24" fillId="5" fontId="20" numFmtId="0" xfId="0" applyAlignment="1" applyBorder="1" applyFont="1">
      <alignment horizontal="center"/>
    </xf>
    <xf borderId="19" fillId="5" fontId="21" numFmtId="0" xfId="0" applyAlignment="1" applyBorder="1" applyFont="1">
      <alignment horizontal="center"/>
    </xf>
    <xf borderId="24" fillId="3" fontId="21" numFmtId="0" xfId="0" applyAlignment="1" applyBorder="1" applyFont="1">
      <alignment horizontal="center"/>
    </xf>
    <xf borderId="19" fillId="3" fontId="15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5" fillId="5" fontId="16" numFmtId="0" xfId="0" applyBorder="1" applyFont="1"/>
    <xf borderId="2" fillId="0" fontId="10" numFmtId="0" xfId="0" applyBorder="1" applyFont="1"/>
    <xf borderId="2" fillId="0" fontId="18" numFmtId="0" xfId="0" applyBorder="1" applyFont="1"/>
    <xf borderId="2" fillId="0" fontId="21" numFmtId="0" xfId="0" applyBorder="1" applyFont="1"/>
    <xf borderId="31" fillId="3" fontId="16" numFmtId="0" xfId="0" applyAlignment="1" applyBorder="1" applyFont="1">
      <alignment horizontal="center"/>
    </xf>
    <xf borderId="31" fillId="6" fontId="11" numFmtId="0" xfId="0" applyAlignment="1" applyBorder="1" applyFont="1">
      <alignment horizontal="center"/>
    </xf>
    <xf borderId="0" fillId="0" fontId="12" numFmtId="0" xfId="0" applyFont="1"/>
    <xf borderId="24" fillId="3" fontId="16" numFmtId="0" xfId="0" applyAlignment="1" applyBorder="1" applyFont="1">
      <alignment horizontal="center"/>
    </xf>
    <xf borderId="5" fillId="5" fontId="18" numFmtId="0" xfId="0" applyAlignment="1" applyBorder="1" applyFont="1">
      <alignment horizontal="center"/>
    </xf>
    <xf borderId="0" fillId="0" fontId="16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8" numFmtId="0" xfId="0" applyAlignment="1" applyFont="1">
      <alignment horizontal="center"/>
    </xf>
    <xf borderId="0" fillId="0" fontId="15" numFmtId="0" xfId="0" applyAlignment="1" applyFont="1">
      <alignment horizontal="center"/>
    </xf>
    <xf borderId="4" fillId="0" fontId="10" numFmtId="0" xfId="0" applyAlignment="1" applyBorder="1" applyFont="1">
      <alignment horizontal="center"/>
    </xf>
    <xf borderId="4" fillId="0" fontId="18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35" fillId="7" fontId="10" numFmtId="0" xfId="0" applyAlignment="1" applyBorder="1" applyFill="1" applyFont="1">
      <alignment horizontal="center"/>
    </xf>
    <xf borderId="36" fillId="0" fontId="2" numFmtId="0" xfId="0" applyBorder="1" applyFont="1"/>
    <xf borderId="37" fillId="0" fontId="2" numFmtId="0" xfId="0" applyBorder="1" applyFont="1"/>
    <xf borderId="0" fillId="0" fontId="4" numFmtId="0" xfId="0" applyAlignment="1" applyFon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11" numFmtId="0" xfId="0" applyAlignment="1" applyFont="1">
      <alignment vertical="center"/>
    </xf>
    <xf borderId="1" fillId="8" fontId="9" numFmtId="0" xfId="0" applyAlignment="1" applyBorder="1" applyFill="1" applyFont="1">
      <alignment horizontal="center" vertical="center"/>
    </xf>
    <xf borderId="0" fillId="0" fontId="8" numFmtId="0" xfId="0" applyAlignment="1" applyFont="1">
      <alignment vertical="center"/>
    </xf>
    <xf borderId="26" fillId="8" fontId="9" numFmtId="0" xfId="0" applyAlignment="1" applyBorder="1" applyFont="1">
      <alignment horizontal="center" vertical="center"/>
    </xf>
    <xf borderId="5" fillId="8" fontId="17" numFmtId="0" xfId="0" applyAlignment="1" applyBorder="1" applyFont="1">
      <alignment horizontal="center" vertical="center"/>
    </xf>
    <xf borderId="27" fillId="8" fontId="17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6" fillId="8" fontId="11" numFmtId="0" xfId="0" applyAlignment="1" applyBorder="1" applyFont="1">
      <alignment horizontal="center"/>
    </xf>
    <xf borderId="28" fillId="8" fontId="11" numFmtId="0" xfId="0" applyAlignment="1" applyBorder="1" applyFont="1">
      <alignment horizontal="center"/>
    </xf>
    <xf borderId="28" fillId="8" fontId="12" numFmtId="0" xfId="0" applyAlignment="1" applyBorder="1" applyFont="1">
      <alignment horizontal="center"/>
    </xf>
    <xf borderId="29" fillId="8" fontId="11" numFmtId="0" xfId="0" applyAlignment="1" applyBorder="1" applyFont="1">
      <alignment horizontal="center"/>
    </xf>
    <xf borderId="30" fillId="8" fontId="11" numFmtId="0" xfId="0" applyAlignment="1" applyBorder="1" applyFont="1">
      <alignment horizontal="center"/>
    </xf>
    <xf borderId="30" fillId="8" fontId="12" numFmtId="0" xfId="0" applyAlignment="1" applyBorder="1" applyFont="1">
      <alignment horizontal="center"/>
    </xf>
    <xf borderId="31" fillId="8" fontId="11" numFmtId="0" xfId="0" applyAlignment="1" applyBorder="1" applyFont="1">
      <alignment horizontal="center"/>
    </xf>
    <xf borderId="24" fillId="8" fontId="11" numFmtId="0" xfId="0" applyAlignment="1" applyBorder="1" applyFont="1">
      <alignment horizontal="center"/>
    </xf>
    <xf borderId="24" fillId="8" fontId="12" numFmtId="0" xfId="0" applyAlignment="1" applyBorder="1" applyFont="1">
      <alignment horizontal="center"/>
    </xf>
    <xf borderId="20" fillId="0" fontId="10" numFmtId="0" xfId="0" applyAlignment="1" applyBorder="1" applyFont="1">
      <alignment horizontal="center"/>
    </xf>
    <xf borderId="5" fillId="0" fontId="18" numFmtId="0" xfId="0" applyAlignment="1" applyBorder="1" applyFont="1">
      <alignment horizontal="center"/>
    </xf>
    <xf borderId="21" fillId="0" fontId="15" numFmtId="0" xfId="0" applyAlignment="1" applyBorder="1" applyFont="1">
      <alignment horizontal="center"/>
    </xf>
    <xf borderId="20" fillId="0" fontId="11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21" fillId="0" fontId="12" numFmtId="0" xfId="0" applyAlignment="1" applyBorder="1" applyFont="1">
      <alignment horizontal="center"/>
    </xf>
    <xf borderId="9" fillId="0" fontId="11" numFmtId="0" xfId="0" applyAlignment="1" applyBorder="1" applyFont="1">
      <alignment horizontal="center"/>
    </xf>
    <xf borderId="14" fillId="0" fontId="11" numFmtId="0" xfId="0" applyAlignment="1" applyBorder="1" applyFont="1">
      <alignment horizontal="center"/>
    </xf>
    <xf borderId="0" fillId="0" fontId="10" numFmtId="0" xfId="0" applyFont="1"/>
    <xf borderId="4" fillId="0" fontId="10" numFmtId="0" xfId="0" applyBorder="1" applyFont="1"/>
    <xf borderId="1" fillId="4" fontId="6" numFmtId="165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horizontal="center" vertical="center"/>
    </xf>
    <xf borderId="0" fillId="0" fontId="5" numFmtId="15" xfId="0" applyAlignment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11" fillId="0" fontId="5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23" numFmtId="0" xfId="0" applyFont="1"/>
    <xf borderId="0" fillId="0" fontId="7" numFmtId="0" xfId="0" applyFont="1"/>
    <xf borderId="2" fillId="0" fontId="5" numFmtId="0" xfId="0" applyBorder="1" applyFont="1"/>
    <xf borderId="0" fillId="0" fontId="11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1" fillId="5" fontId="24" numFmtId="0" xfId="0" applyAlignment="1" applyBorder="1" applyFont="1">
      <alignment horizontal="center"/>
    </xf>
    <xf borderId="0" fillId="0" fontId="9" numFmtId="0" xfId="0" applyAlignment="1" applyFont="1">
      <alignment vertical="center"/>
    </xf>
    <xf borderId="24" fillId="5" fontId="15" numFmtId="0" xfId="0" applyAlignment="1" applyBorder="1" applyFont="1">
      <alignment horizontal="center"/>
    </xf>
    <xf borderId="30" fillId="5" fontId="15" numFmtId="0" xfId="0" applyAlignment="1" applyBorder="1" applyFont="1">
      <alignment horizontal="center"/>
    </xf>
    <xf borderId="29" fillId="5" fontId="16" numFmtId="0" xfId="0" applyAlignment="1" applyBorder="1" applyFont="1">
      <alignment horizontal="center"/>
    </xf>
    <xf borderId="0" fillId="0" fontId="5" numFmtId="164" xfId="0" applyAlignment="1" applyFont="1" applyNumberFormat="1">
      <alignment horizontal="left" vertical="center"/>
    </xf>
    <xf borderId="0" fillId="0" fontId="25" numFmtId="164" xfId="0" applyAlignment="1" applyFont="1" applyNumberFormat="1">
      <alignment horizontal="left" vertical="center"/>
    </xf>
    <xf borderId="25" fillId="0" fontId="10" numFmtId="0" xfId="0" applyAlignment="1" applyBorder="1" applyFont="1">
      <alignment horizontal="center"/>
    </xf>
    <xf borderId="25" fillId="0" fontId="18" numFmtId="0" xfId="0" applyAlignment="1" applyBorder="1" applyFont="1">
      <alignment horizontal="center"/>
    </xf>
    <xf borderId="25" fillId="0" fontId="15" numFmtId="0" xfId="0" applyAlignment="1" applyBorder="1" applyFont="1">
      <alignment horizontal="center"/>
    </xf>
    <xf borderId="25" fillId="0" fontId="11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0" fillId="0" fontId="26" numFmtId="0" xfId="0" applyAlignment="1" applyFont="1">
      <alignment horizontal="left" vertical="center"/>
    </xf>
    <xf borderId="38" fillId="8" fontId="11" numFmtId="0" xfId="0" applyAlignment="1" applyBorder="1" applyFont="1">
      <alignment horizontal="center"/>
    </xf>
    <xf borderId="26" fillId="8" fontId="17" numFmtId="0" xfId="0" applyAlignment="1" applyBorder="1" applyFont="1">
      <alignment horizontal="center" vertical="center"/>
    </xf>
    <xf borderId="31" fillId="5" fontId="16" numFmtId="0" xfId="0" applyAlignment="1" applyBorder="1" applyFont="1">
      <alignment horizontal="center"/>
    </xf>
    <xf borderId="1" fillId="0" fontId="8" numFmtId="0" xfId="0" applyAlignment="1" applyBorder="1" applyFont="1">
      <alignment horizontal="center" vertical="center"/>
    </xf>
    <xf borderId="9" fillId="0" fontId="16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/>
    </xf>
    <xf borderId="11" fillId="0" fontId="18" numFmtId="0" xfId="0" applyAlignment="1" applyBorder="1" applyFont="1">
      <alignment horizontal="center"/>
    </xf>
    <xf borderId="15" fillId="0" fontId="15" numFmtId="0" xfId="0" applyAlignment="1" applyBorder="1" applyFont="1">
      <alignment horizontal="center"/>
    </xf>
    <xf borderId="11" fillId="0" fontId="10" numFmtId="0" xfId="0" applyAlignment="1" applyBorder="1" applyFont="1">
      <alignment horizontal="center"/>
    </xf>
    <xf borderId="11" fillId="0" fontId="15" numFmtId="0" xfId="0" applyAlignment="1" applyBorder="1" applyFont="1">
      <alignment horizontal="center"/>
    </xf>
    <xf borderId="14" fillId="0" fontId="10" numFmtId="0" xfId="0" applyAlignment="1" applyBorder="1" applyFont="1">
      <alignment horizontal="center"/>
    </xf>
    <xf borderId="16" fillId="0" fontId="18" numFmtId="0" xfId="0" applyAlignment="1" applyBorder="1" applyFont="1">
      <alignment horizontal="center"/>
    </xf>
    <xf borderId="16" fillId="0" fontId="10" numFmtId="0" xfId="0" applyAlignment="1" applyBorder="1" applyFont="1">
      <alignment horizontal="center"/>
    </xf>
    <xf borderId="16" fillId="0" fontId="15" numFmtId="0" xfId="0" applyAlignment="1" applyBorder="1" applyFont="1">
      <alignment horizontal="center"/>
    </xf>
    <xf borderId="29" fillId="3" fontId="27" numFmtId="0" xfId="0" applyAlignment="1" applyBorder="1" applyFont="1">
      <alignment horizontal="center"/>
    </xf>
    <xf borderId="20" fillId="0" fontId="16" numFmtId="0" xfId="0" applyAlignment="1" applyBorder="1" applyFont="1">
      <alignment horizontal="center"/>
    </xf>
    <xf borderId="22" fillId="0" fontId="18" numFmtId="0" xfId="0" applyAlignment="1" applyBorder="1" applyFont="1">
      <alignment horizontal="center"/>
    </xf>
    <xf borderId="22" fillId="0" fontId="10" numFmtId="0" xfId="0" applyAlignment="1" applyBorder="1" applyFont="1">
      <alignment horizontal="center"/>
    </xf>
    <xf borderId="22" fillId="0" fontId="15" numFmtId="0" xfId="0" applyAlignment="1" applyBorder="1" applyFont="1">
      <alignment horizontal="center"/>
    </xf>
    <xf borderId="0" fillId="0" fontId="28" numFmtId="0" xfId="0" applyFont="1"/>
    <xf borderId="0" fillId="0" fontId="29" numFmtId="0" xfId="0" applyAlignment="1" applyFont="1">
      <alignment horizontal="left"/>
    </xf>
    <xf borderId="0" fillId="0" fontId="29" numFmtId="0" xfId="0" applyFont="1"/>
    <xf borderId="1" fillId="0" fontId="28" numFmtId="165" xfId="0" applyAlignment="1" applyBorder="1" applyFont="1" applyNumberFormat="1">
      <alignment horizontal="center" vertical="center"/>
    </xf>
    <xf borderId="34" fillId="5" fontId="15" numFmtId="0" xfId="0" applyAlignment="1" applyBorder="1" applyFont="1">
      <alignment horizontal="center"/>
    </xf>
    <xf borderId="1" fillId="0" fontId="12" numFmtId="165" xfId="0" applyAlignment="1" applyBorder="1" applyFont="1" applyNumberFormat="1">
      <alignment horizontal="center" vertical="center"/>
    </xf>
    <xf borderId="0" fillId="0" fontId="30" numFmtId="0" xfId="0" applyFont="1"/>
    <xf borderId="1" fillId="4" fontId="30" numFmtId="0" xfId="0" applyAlignment="1" applyBorder="1" applyFont="1">
      <alignment horizontal="center"/>
    </xf>
    <xf borderId="1" fillId="0" fontId="19" numFmtId="0" xfId="0" applyAlignment="1" applyBorder="1" applyFont="1">
      <alignment horizontal="center"/>
    </xf>
    <xf borderId="1" fillId="0" fontId="31" numFmtId="0" xfId="0" applyAlignment="1" applyBorder="1" applyFont="1">
      <alignment horizontal="center"/>
    </xf>
    <xf borderId="32" fillId="6" fontId="11" numFmtId="0" xfId="0" applyAlignment="1" applyBorder="1" applyFont="1">
      <alignment horizontal="center" vertical="center"/>
    </xf>
    <xf borderId="1" fillId="0" fontId="12" numFmtId="16" xfId="0" applyAlignment="1" applyBorder="1" applyFont="1" applyNumberFormat="1">
      <alignment textRotation="90" vertical="center"/>
    </xf>
    <xf borderId="2" fillId="0" fontId="12" numFmtId="16" xfId="0" applyAlignment="1" applyBorder="1" applyFont="1" applyNumberFormat="1">
      <alignment textRotation="90" vertical="center"/>
    </xf>
    <xf borderId="3" fillId="0" fontId="12" numFmtId="16" xfId="0" applyAlignment="1" applyBorder="1" applyFont="1" applyNumberFormat="1">
      <alignment textRotation="90" vertical="center"/>
    </xf>
    <xf borderId="2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/>
    </xf>
    <xf borderId="4" fillId="0" fontId="19" numFmtId="0" xfId="0" applyAlignment="1" applyBorder="1" applyFont="1">
      <alignment horizontal="center" vertical="center"/>
    </xf>
    <xf borderId="4" fillId="0" fontId="32" numFmtId="0" xfId="0" applyAlignment="1" applyBorder="1" applyFont="1">
      <alignment horizontal="center" vertical="center"/>
    </xf>
    <xf borderId="22" fillId="0" fontId="33" numFmtId="0" xfId="0" applyAlignment="1" applyBorder="1" applyFont="1">
      <alignment horizontal="center" vertical="center"/>
    </xf>
    <xf borderId="5" fillId="5" fontId="19" numFmtId="0" xfId="0" applyAlignment="1" applyBorder="1" applyFont="1">
      <alignment horizontal="center"/>
    </xf>
    <xf borderId="5" fillId="3" fontId="19" numFmtId="0" xfId="0" applyAlignment="1" applyBorder="1" applyFont="1">
      <alignment horizontal="center"/>
    </xf>
    <xf borderId="5" fillId="2" fontId="19" numFmtId="0" xfId="0" applyAlignment="1" applyBorder="1" applyFont="1">
      <alignment horizontal="center"/>
    </xf>
    <xf borderId="5" fillId="5" fontId="11" numFmtId="0" xfId="0" applyAlignment="1" applyBorder="1" applyFont="1">
      <alignment horizontal="center"/>
    </xf>
    <xf borderId="5" fillId="0" fontId="19" numFmtId="0" xfId="0" applyBorder="1" applyFont="1"/>
    <xf borderId="3" fillId="0" fontId="19" numFmtId="0" xfId="0" applyAlignment="1" applyBorder="1" applyFont="1">
      <alignment horizontal="center"/>
    </xf>
    <xf borderId="2" fillId="0" fontId="32" numFmtId="0" xfId="0" applyAlignment="1" applyBorder="1" applyFont="1">
      <alignment horizontal="center" vertical="center"/>
    </xf>
    <xf borderId="5" fillId="0" fontId="33" numFmtId="0" xfId="0" applyAlignment="1" applyBorder="1" applyFont="1">
      <alignment horizontal="center" vertical="center"/>
    </xf>
    <xf borderId="5" fillId="3" fontId="19" numFmtId="0" xfId="0" applyBorder="1" applyFont="1"/>
    <xf borderId="1" fillId="0" fontId="19" numFmtId="0" xfId="0" applyBorder="1" applyFont="1"/>
    <xf borderId="3" fillId="0" fontId="19" numFmtId="0" xfId="0" applyBorder="1" applyFont="1"/>
    <xf borderId="0" fillId="0" fontId="19" numFmtId="0" xfId="0" applyAlignment="1" applyFont="1">
      <alignment horizontal="center"/>
    </xf>
    <xf borderId="0" fillId="0" fontId="19" numFmtId="0" xfId="0" applyFont="1"/>
    <xf borderId="0" fillId="0" fontId="33" numFmtId="0" xfId="0" applyAlignment="1" applyFont="1">
      <alignment horizontal="center"/>
    </xf>
    <xf borderId="0" fillId="0" fontId="19" numFmtId="0" xfId="0" applyAlignment="1" applyFont="1">
      <alignment horizontal="left"/>
    </xf>
    <xf borderId="5" fillId="9" fontId="10" numFmtId="0" xfId="0" applyAlignment="1" applyBorder="1" applyFill="1" applyFont="1">
      <alignment horizontal="center" vertical="center"/>
    </xf>
    <xf borderId="5" fillId="0" fontId="34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/>
    </xf>
    <xf borderId="3" fillId="0" fontId="35" numFmtId="0" xfId="0" applyAlignment="1" applyBorder="1" applyFont="1">
      <alignment horizontal="center"/>
    </xf>
    <xf borderId="5" fillId="10" fontId="10" numFmtId="0" xfId="0" applyAlignment="1" applyBorder="1" applyFill="1" applyFont="1">
      <alignment horizontal="center"/>
    </xf>
    <xf borderId="5" fillId="8" fontId="35" numFmtId="0" xfId="0" applyAlignment="1" applyBorder="1" applyFont="1">
      <alignment horizontal="center"/>
    </xf>
    <xf borderId="0" fillId="0" fontId="36" numFmtId="0" xfId="0" applyAlignment="1" applyFont="1">
      <alignment horizontal="center"/>
    </xf>
    <xf borderId="15" fillId="0" fontId="12" numFmtId="0" xfId="0" applyAlignment="1" applyBorder="1" applyFont="1">
      <alignment horizontal="center"/>
    </xf>
    <xf borderId="39" fillId="6" fontId="11" numFmtId="0" xfId="0" applyAlignment="1" applyBorder="1" applyFont="1">
      <alignment horizontal="center"/>
    </xf>
    <xf borderId="27" fillId="6" fontId="11" numFmtId="0" xfId="0" applyAlignment="1" applyBorder="1" applyFont="1">
      <alignment horizontal="center"/>
    </xf>
    <xf borderId="5" fillId="5" fontId="16" numFmtId="0" xfId="0" applyAlignment="1" applyBorder="1" applyFont="1">
      <alignment horizontal="center"/>
    </xf>
    <xf borderId="5" fillId="6" fontId="5" numFmtId="0" xfId="0" applyAlignment="1" applyBorder="1" applyFont="1">
      <alignment horizontal="center"/>
    </xf>
    <xf borderId="1" fillId="11" fontId="35" numFmtId="0" xfId="0" applyAlignment="1" applyBorder="1" applyFill="1" applyFont="1">
      <alignment horizontal="center"/>
    </xf>
    <xf borderId="40" fillId="11" fontId="35" numFmtId="0" xfId="0" applyAlignment="1" applyBorder="1" applyFont="1">
      <alignment horizontal="center"/>
    </xf>
    <xf borderId="5" fillId="11" fontId="5" numFmtId="0" xfId="0" applyAlignment="1" applyBorder="1" applyFont="1">
      <alignment horizontal="center"/>
    </xf>
    <xf borderId="0" fillId="0" fontId="35" numFmtId="0" xfId="0" applyAlignment="1" applyFont="1">
      <alignment horizontal="center"/>
    </xf>
    <xf borderId="5" fillId="3" fontId="10" numFmtId="0" xfId="0" applyAlignment="1" applyBorder="1" applyFont="1">
      <alignment horizontal="center" vertical="center"/>
    </xf>
    <xf borderId="5" fillId="12" fontId="11" numFmtId="0" xfId="0" applyAlignment="1" applyBorder="1" applyFill="1" applyFont="1">
      <alignment horizontal="center"/>
    </xf>
    <xf borderId="5" fillId="0" fontId="32" numFmtId="0" xfId="0" applyAlignment="1" applyBorder="1" applyFont="1">
      <alignment horizontal="center"/>
    </xf>
    <xf borderId="0" fillId="0" fontId="32" numFmtId="0" xfId="0" applyAlignment="1" applyFont="1">
      <alignment horizontal="center"/>
    </xf>
    <xf borderId="5" fillId="2" fontId="32" numFmtId="0" xfId="0" applyAlignment="1" applyBorder="1" applyFont="1">
      <alignment horizontal="center"/>
    </xf>
    <xf borderId="5" fillId="0" fontId="32" numFmtId="0" xfId="0" applyBorder="1" applyFont="1"/>
    <xf borderId="0" fillId="0" fontId="32" numFmtId="0" xfId="0" applyFont="1"/>
    <xf borderId="0" fillId="0" fontId="37" numFmtId="0" xfId="0" applyAlignment="1" applyFont="1">
      <alignment horizontal="center"/>
    </xf>
    <xf borderId="1" fillId="3" fontId="38" numFmtId="0" xfId="0" applyAlignment="1" applyBorder="1" applyFont="1">
      <alignment horizontal="center"/>
    </xf>
    <xf borderId="0" fillId="0" fontId="38" numFmtId="0" xfId="0" applyFont="1"/>
    <xf borderId="5" fillId="0" fontId="11" numFmtId="0" xfId="0" applyAlignment="1" applyBorder="1" applyFont="1">
      <alignment horizontal="center" vertical="center"/>
    </xf>
    <xf borderId="5" fillId="4" fontId="11" numFmtId="0" xfId="0" applyAlignment="1" applyBorder="1" applyFont="1">
      <alignment horizontal="center"/>
    </xf>
    <xf borderId="5" fillId="5" fontId="10" numFmtId="0" xfId="0" applyAlignment="1" applyBorder="1" applyFont="1">
      <alignment horizontal="center"/>
    </xf>
    <xf borderId="5" fillId="13" fontId="10" numFmtId="0" xfId="0" applyAlignment="1" applyBorder="1" applyFill="1" applyFont="1">
      <alignment horizontal="center"/>
    </xf>
    <xf borderId="5" fillId="14" fontId="10" numFmtId="0" xfId="0" applyAlignment="1" applyBorder="1" applyFill="1" applyFont="1">
      <alignment horizontal="center"/>
    </xf>
    <xf borderId="5" fillId="15" fontId="10" numFmtId="0" xfId="0" applyAlignment="1" applyBorder="1" applyFill="1" applyFont="1">
      <alignment horizontal="center"/>
    </xf>
    <xf borderId="35" fillId="16" fontId="5" numFmtId="0" xfId="0" applyAlignment="1" applyBorder="1" applyFill="1" applyFont="1">
      <alignment horizontal="center"/>
    </xf>
    <xf borderId="38" fillId="16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17" fontId="5" numFmtId="0" xfId="0" applyAlignment="1" applyBorder="1" applyFill="1" applyFont="1">
      <alignment horizontal="center"/>
    </xf>
    <xf borderId="5" fillId="18" fontId="5" numFmtId="0" xfId="0" applyAlignment="1" applyBorder="1" applyFill="1" applyFont="1">
      <alignment horizontal="center"/>
    </xf>
    <xf borderId="5" fillId="19" fontId="5" numFmtId="0" xfId="0" applyAlignment="1" applyBorder="1" applyFill="1" applyFont="1">
      <alignment horizontal="center"/>
    </xf>
    <xf borderId="5" fillId="12" fontId="5" numFmtId="0" xfId="0" applyAlignment="1" applyBorder="1" applyFont="1">
      <alignment horizontal="center"/>
    </xf>
    <xf borderId="5" fillId="20" fontId="5" numFmtId="0" xfId="0" applyAlignment="1" applyBorder="1" applyFill="1" applyFont="1">
      <alignment horizontal="center"/>
    </xf>
    <xf borderId="5" fillId="21" fontId="5" numFmtId="0" xfId="0" applyAlignment="1" applyBorder="1" applyFill="1" applyFont="1">
      <alignment horizontal="center"/>
    </xf>
    <xf borderId="5" fillId="21" fontId="11" numFmtId="0" xfId="0" applyAlignment="1" applyBorder="1" applyFont="1">
      <alignment horizontal="center"/>
    </xf>
    <xf borderId="38" fillId="22" fontId="11" numFmtId="0" xfId="0" applyAlignment="1" applyBorder="1" applyFill="1" applyFont="1">
      <alignment horizontal="center"/>
    </xf>
    <xf borderId="5" fillId="20" fontId="11" numFmtId="0" xfId="0" applyAlignment="1" applyBorder="1" applyFont="1">
      <alignment horizontal="center"/>
    </xf>
    <xf borderId="38" fillId="18" fontId="11" numFmtId="0" xfId="0" applyAlignment="1" applyBorder="1" applyFont="1">
      <alignment horizontal="center"/>
    </xf>
    <xf borderId="5" fillId="17" fontId="11" numFmtId="0" xfId="0" applyAlignment="1" applyBorder="1" applyFont="1">
      <alignment horizontal="center"/>
    </xf>
    <xf borderId="5" fillId="18" fontId="11" numFmtId="0" xfId="0" applyAlignment="1" applyBorder="1" applyFont="1">
      <alignment horizontal="center"/>
    </xf>
    <xf borderId="38" fillId="12" fontId="11" numFmtId="0" xfId="0" applyAlignment="1" applyBorder="1" applyFont="1">
      <alignment horizontal="center"/>
    </xf>
    <xf borderId="38" fillId="21" fontId="11" numFmtId="0" xfId="0" applyAlignment="1" applyBorder="1" applyFont="1">
      <alignment horizontal="center"/>
    </xf>
    <xf borderId="5" fillId="19" fontId="11" numFmtId="0" xfId="0" applyAlignment="1" applyBorder="1" applyFont="1">
      <alignment horizontal="center"/>
    </xf>
    <xf borderId="38" fillId="20" fontId="11" numFmtId="0" xfId="0" applyAlignment="1" applyBorder="1" applyFont="1">
      <alignment horizontal="center"/>
    </xf>
    <xf borderId="0" fillId="0" fontId="10" numFmtId="0" xfId="0" applyAlignment="1" applyFont="1">
      <alignment vertical="center"/>
    </xf>
    <xf borderId="0" fillId="0" fontId="5" numFmtId="0" xfId="0" applyAlignment="1" applyFont="1">
      <alignment vertical="center"/>
    </xf>
    <xf borderId="38" fillId="19" fontId="11" numFmtId="0" xfId="0" applyAlignment="1" applyBorder="1" applyFont="1">
      <alignment horizontal="center"/>
    </xf>
    <xf borderId="38" fillId="12" fontId="11" numFmtId="0" xfId="0" applyAlignment="1" applyBorder="1" applyFont="1">
      <alignment horizontal="center" vertical="center"/>
    </xf>
    <xf borderId="35" fillId="20" fontId="5" numFmtId="0" xfId="0" applyAlignment="1" applyBorder="1" applyFont="1">
      <alignment horizontal="center"/>
    </xf>
    <xf borderId="38" fillId="20" fontId="5" numFmtId="0" xfId="0" applyAlignment="1" applyBorder="1" applyFont="1">
      <alignment horizontal="center"/>
    </xf>
    <xf borderId="0" fillId="0" fontId="11" numFmtId="166" xfId="0" applyAlignment="1" applyFont="1" applyNumberFormat="1">
      <alignment horizontal="center"/>
    </xf>
    <xf borderId="0" fillId="0" fontId="5" numFmtId="15" xfId="0" applyFont="1" applyNumberFormat="1"/>
    <xf borderId="9" fillId="0" fontId="39" numFmtId="0" xfId="0" applyAlignment="1" applyBorder="1" applyFont="1">
      <alignment horizontal="center" vertical="center"/>
    </xf>
    <xf borderId="20" fillId="0" fontId="2" numFmtId="0" xfId="0" applyBorder="1" applyFont="1"/>
    <xf borderId="1" fillId="4" fontId="40" numFmtId="0" xfId="0" applyAlignment="1" applyBorder="1" applyFont="1">
      <alignment horizontal="center" vertical="center"/>
    </xf>
    <xf borderId="0" fillId="0" fontId="39" numFmtId="0" xfId="0" applyAlignment="1" applyFont="1">
      <alignment horizontal="center" vertical="center"/>
    </xf>
    <xf borderId="0" fillId="0" fontId="40" numFmtId="0" xfId="0" applyAlignment="1" applyFont="1">
      <alignment horizontal="center" vertical="center"/>
    </xf>
    <xf borderId="12" fillId="3" fontId="38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41" fillId="6" fontId="10" numFmtId="0" xfId="0" applyAlignment="1" applyBorder="1" applyFont="1">
      <alignment horizontal="center"/>
    </xf>
    <xf borderId="27" fillId="14" fontId="10" numFmtId="0" xfId="0" applyAlignment="1" applyBorder="1" applyFont="1">
      <alignment horizontal="center"/>
    </xf>
    <xf borderId="32" fillId="15" fontId="10" numFmtId="0" xfId="0" applyAlignment="1" applyBorder="1" applyFont="1">
      <alignment horizontal="center"/>
    </xf>
    <xf borderId="42" fillId="23" fontId="11" numFmtId="0" xfId="0" applyAlignment="1" applyBorder="1" applyFill="1" applyFont="1">
      <alignment horizontal="center"/>
    </xf>
    <xf borderId="27" fillId="24" fontId="10" numFmtId="0" xfId="0" applyAlignment="1" applyBorder="1" applyFill="1" applyFont="1">
      <alignment horizontal="center"/>
    </xf>
    <xf borderId="32" fillId="12" fontId="11" numFmtId="0" xfId="0" applyAlignment="1" applyBorder="1" applyFont="1">
      <alignment horizontal="center"/>
    </xf>
    <xf borderId="43" fillId="25" fontId="11" numFmtId="0" xfId="0" applyAlignment="1" applyBorder="1" applyFill="1" applyFont="1">
      <alignment horizontal="center"/>
    </xf>
    <xf borderId="32" fillId="21" fontId="11" numFmtId="0" xfId="0" applyAlignment="1" applyBorder="1" applyFont="1">
      <alignment horizontal="center"/>
    </xf>
    <xf borderId="42" fillId="26" fontId="11" numFmtId="0" xfId="0" applyAlignment="1" applyBorder="1" applyFill="1" applyFont="1">
      <alignment horizontal="center"/>
    </xf>
    <xf borderId="5" fillId="26" fontId="11" numFmtId="0" xfId="0" applyAlignment="1" applyBorder="1" applyFont="1">
      <alignment horizontal="center"/>
    </xf>
    <xf borderId="32" fillId="12" fontId="5" numFmtId="0" xfId="0" applyAlignment="1" applyBorder="1" applyFont="1">
      <alignment horizontal="center"/>
    </xf>
    <xf borderId="43" fillId="25" fontId="5" numFmtId="0" xfId="0" applyAlignment="1" applyBorder="1" applyFont="1">
      <alignment horizontal="center"/>
    </xf>
    <xf borderId="32" fillId="21" fontId="5" numFmtId="0" xfId="0" applyAlignment="1" applyBorder="1" applyFont="1">
      <alignment horizontal="center"/>
    </xf>
    <xf borderId="42" fillId="26" fontId="5" numFmtId="0" xfId="0" applyAlignment="1" applyBorder="1" applyFont="1">
      <alignment horizontal="center"/>
    </xf>
    <xf borderId="5" fillId="26" fontId="5" numFmtId="0" xfId="0" applyAlignment="1" applyBorder="1" applyFont="1">
      <alignment horizontal="center"/>
    </xf>
    <xf borderId="38" fillId="25" fontId="11" numFmtId="0" xfId="0" applyAlignment="1" applyBorder="1" applyFont="1">
      <alignment horizontal="center"/>
    </xf>
    <xf borderId="38" fillId="23" fontId="11" numFmtId="0" xfId="0" applyAlignment="1" applyBorder="1" applyFont="1">
      <alignment horizontal="center"/>
    </xf>
    <xf borderId="38" fillId="24" fontId="10" numFmtId="0" xfId="0" applyAlignment="1" applyBorder="1" applyFont="1">
      <alignment horizontal="center"/>
    </xf>
    <xf borderId="42" fillId="25" fontId="5" numFmtId="0" xfId="0" applyAlignment="1" applyBorder="1" applyFont="1">
      <alignment horizontal="center"/>
    </xf>
    <xf borderId="5" fillId="18" fontId="5" numFmtId="0" xfId="0" applyAlignment="1" applyBorder="1" applyFont="1">
      <alignment horizontal="center" vertical="center"/>
    </xf>
    <xf borderId="5" fillId="19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/>
    </xf>
    <xf borderId="0" fillId="0" fontId="41" numFmtId="0" xfId="0" applyFont="1"/>
    <xf borderId="0" fillId="0" fontId="11" numFmtId="0" xfId="0" applyAlignment="1" applyFont="1">
      <alignment horizontal="left"/>
    </xf>
    <xf borderId="27" fillId="4" fontId="11" numFmtId="0" xfId="0" applyAlignment="1" applyBorder="1" applyFont="1">
      <alignment horizontal="center"/>
    </xf>
    <xf borderId="0" fillId="0" fontId="17" numFmtId="0" xfId="0" applyFont="1"/>
    <xf borderId="5" fillId="16" fontId="19" numFmtId="0" xfId="0" applyAlignment="1" applyBorder="1" applyFont="1">
      <alignment horizontal="center"/>
    </xf>
    <xf borderId="5" fillId="19" fontId="19" numFmtId="0" xfId="0" applyAlignment="1" applyBorder="1" applyFont="1">
      <alignment horizontal="center"/>
    </xf>
    <xf borderId="5" fillId="16" fontId="5" numFmtId="0" xfId="0" applyAlignment="1" applyBorder="1" applyFont="1">
      <alignment horizontal="center"/>
    </xf>
    <xf borderId="5" fillId="21" fontId="19" numFmtId="0" xfId="0" applyAlignment="1" applyBorder="1" applyFont="1">
      <alignment horizontal="center"/>
    </xf>
    <xf borderId="5" fillId="17" fontId="19" numFmtId="0" xfId="0" applyAlignment="1" applyBorder="1" applyFont="1">
      <alignment horizontal="center"/>
    </xf>
    <xf borderId="32" fillId="12" fontId="19" numFmtId="0" xfId="0" applyAlignment="1" applyBorder="1" applyFont="1">
      <alignment horizontal="center"/>
    </xf>
    <xf borderId="43" fillId="25" fontId="19" numFmtId="0" xfId="0" applyAlignment="1" applyBorder="1" applyFont="1">
      <alignment horizontal="center"/>
    </xf>
    <xf borderId="5" fillId="20" fontId="19" numFmtId="0" xfId="0" applyAlignment="1" applyBorder="1" applyFont="1">
      <alignment horizontal="center"/>
    </xf>
    <xf borderId="44" fillId="17" fontId="5" numFmtId="0" xfId="0" applyAlignment="1" applyBorder="1" applyFont="1">
      <alignment horizontal="center"/>
    </xf>
    <xf borderId="28" fillId="16" fontId="5" numFmtId="0" xfId="0" applyAlignment="1" applyBorder="1" applyFont="1">
      <alignment horizontal="center"/>
    </xf>
    <xf borderId="28" fillId="19" fontId="5" numFmtId="0" xfId="0" applyAlignment="1" applyBorder="1" applyFont="1">
      <alignment horizontal="center"/>
    </xf>
    <xf borderId="45" fillId="12" fontId="5" numFmtId="0" xfId="0" applyAlignment="1" applyBorder="1" applyFont="1">
      <alignment horizontal="center"/>
    </xf>
    <xf borderId="46" fillId="25" fontId="5" numFmtId="0" xfId="0" applyAlignment="1" applyBorder="1" applyFont="1">
      <alignment horizontal="center"/>
    </xf>
    <xf borderId="28" fillId="20" fontId="5" numFmtId="0" xfId="0" applyAlignment="1" applyBorder="1" applyFont="1">
      <alignment horizontal="center"/>
    </xf>
    <xf borderId="28" fillId="21" fontId="5" numFmtId="0" xfId="0" applyAlignment="1" applyBorder="1" applyFont="1">
      <alignment horizontal="center"/>
    </xf>
    <xf borderId="24" fillId="17" fontId="5" numFmtId="0" xfId="0" applyAlignment="1" applyBorder="1" applyFont="1">
      <alignment horizontal="center"/>
    </xf>
    <xf borderId="47" fillId="16" fontId="5" numFmtId="0" xfId="0" applyAlignment="1" applyBorder="1" applyFont="1">
      <alignment horizontal="center"/>
    </xf>
    <xf borderId="47" fillId="19" fontId="5" numFmtId="0" xfId="0" applyAlignment="1" applyBorder="1" applyFont="1">
      <alignment horizontal="center"/>
    </xf>
    <xf borderId="31" fillId="12" fontId="5" numFmtId="0" xfId="0" applyAlignment="1" applyBorder="1" applyFont="1">
      <alignment horizontal="center"/>
    </xf>
    <xf borderId="48" fillId="25" fontId="5" numFmtId="0" xfId="0" applyAlignment="1" applyBorder="1" applyFont="1">
      <alignment horizontal="center"/>
    </xf>
    <xf borderId="47" fillId="20" fontId="5" numFmtId="0" xfId="0" applyAlignment="1" applyBorder="1" applyFont="1">
      <alignment horizontal="center"/>
    </xf>
    <xf borderId="47" fillId="21" fontId="5" numFmtId="0" xfId="0" applyAlignment="1" applyBorder="1" applyFont="1">
      <alignment horizontal="center"/>
    </xf>
    <xf borderId="26" fillId="12" fontId="5" numFmtId="0" xfId="0" applyAlignment="1" applyBorder="1" applyFont="1">
      <alignment horizontal="center"/>
    </xf>
    <xf borderId="5" fillId="16" fontId="5" numFmtId="0" xfId="0" applyAlignment="1" applyBorder="1" applyFont="1">
      <alignment horizontal="center" vertical="center"/>
    </xf>
    <xf borderId="32" fillId="19" fontId="5" numFmtId="0" xfId="0" applyAlignment="1" applyBorder="1" applyFont="1">
      <alignment horizontal="center" vertical="center"/>
    </xf>
    <xf borderId="5" fillId="12" fontId="17" numFmtId="0" xfId="0" applyAlignment="1" applyBorder="1" applyFont="1">
      <alignment horizontal="center"/>
    </xf>
    <xf borderId="49" fillId="6" fontId="10" numFmtId="0" xfId="0" applyAlignment="1" applyBorder="1" applyFont="1">
      <alignment horizontal="center"/>
    </xf>
    <xf borderId="50" fillId="12" fontId="5" numFmtId="0" xfId="0" applyAlignment="1" applyBorder="1" applyFont="1">
      <alignment horizontal="center"/>
    </xf>
    <xf borderId="50" fillId="12" fontId="19" numFmtId="0" xfId="0" applyAlignment="1" applyBorder="1" applyFont="1">
      <alignment horizontal="center"/>
    </xf>
    <xf borderId="44" fillId="16" fontId="5" numFmtId="0" xfId="0" applyAlignment="1" applyBorder="1" applyFont="1">
      <alignment horizontal="center"/>
    </xf>
    <xf borderId="44" fillId="19" fontId="5" numFmtId="0" xfId="0" applyAlignment="1" applyBorder="1" applyFont="1">
      <alignment horizontal="center"/>
    </xf>
    <xf borderId="51" fillId="25" fontId="5" numFmtId="0" xfId="0" applyAlignment="1" applyBorder="1" applyFont="1">
      <alignment horizontal="center"/>
    </xf>
    <xf borderId="44" fillId="20" fontId="5" numFmtId="0" xfId="0" applyAlignment="1" applyBorder="1" applyFont="1">
      <alignment horizontal="center"/>
    </xf>
    <xf borderId="44" fillId="21" fontId="5" numFmtId="0" xfId="0" applyAlignment="1" applyBorder="1" applyFont="1">
      <alignment horizontal="center"/>
    </xf>
    <xf borderId="24" fillId="16" fontId="5" numFmtId="0" xfId="0" applyAlignment="1" applyBorder="1" applyFont="1">
      <alignment horizontal="center"/>
    </xf>
    <xf borderId="52" fillId="25" fontId="5" numFmtId="0" xfId="0" applyAlignment="1" applyBorder="1" applyFont="1">
      <alignment horizontal="center"/>
    </xf>
    <xf borderId="24" fillId="20" fontId="5" numFmtId="0" xfId="0" applyAlignment="1" applyBorder="1" applyFont="1">
      <alignment horizontal="center"/>
    </xf>
    <xf borderId="24" fillId="21" fontId="5" numFmtId="0" xfId="0" applyAlignment="1" applyBorder="1" applyFont="1">
      <alignment horizontal="center"/>
    </xf>
    <xf borderId="0" fillId="0" fontId="5" numFmtId="16" xfId="0" applyAlignment="1" applyFont="1" applyNumberFormat="1">
      <alignment horizontal="center"/>
    </xf>
    <xf borderId="5" fillId="16" fontId="41" numFmtId="0" xfId="0" applyAlignment="1" applyBorder="1" applyFont="1">
      <alignment horizontal="center"/>
    </xf>
    <xf borderId="5" fillId="19" fontId="41" numFmtId="0" xfId="0" applyAlignment="1" applyBorder="1" applyFont="1">
      <alignment horizontal="center"/>
    </xf>
    <xf borderId="14" fillId="0" fontId="17" numFmtId="0" xfId="0" applyBorder="1" applyFont="1"/>
    <xf borderId="5" fillId="27" fontId="5" numFmtId="0" xfId="0" applyAlignment="1" applyBorder="1" applyFill="1" applyFont="1">
      <alignment horizontal="center"/>
    </xf>
    <xf borderId="5" fillId="27" fontId="19" numFmtId="0" xfId="0" applyAlignment="1" applyBorder="1" applyFont="1">
      <alignment horizontal="center"/>
    </xf>
    <xf borderId="32" fillId="21" fontId="19" numFmtId="0" xfId="0" applyAlignment="1" applyBorder="1" applyFont="1">
      <alignment horizontal="center"/>
    </xf>
    <xf borderId="44" fillId="27" fontId="5" numFmtId="0" xfId="0" applyAlignment="1" applyBorder="1" applyFont="1">
      <alignment horizontal="center"/>
    </xf>
    <xf borderId="24" fillId="27" fontId="5" numFmtId="0" xfId="0" applyAlignment="1" applyBorder="1" applyFont="1">
      <alignment horizontal="center"/>
    </xf>
    <xf borderId="24" fillId="19" fontId="5" numFmtId="0" xfId="0" applyAlignment="1" applyBorder="1" applyFont="1">
      <alignment horizontal="center"/>
    </xf>
    <xf borderId="53" fillId="12" fontId="5" numFmtId="0" xfId="0" applyAlignment="1" applyBorder="1" applyFont="1">
      <alignment horizontal="center"/>
    </xf>
    <xf borderId="5" fillId="12" fontId="41" numFmtId="0" xfId="0" applyAlignment="1" applyBorder="1" applyFont="1">
      <alignment horizontal="center"/>
    </xf>
    <xf borderId="0" fillId="0" fontId="42" numFmtId="0" xfId="0" applyAlignment="1" applyFont="1">
      <alignment horizontal="center" vertical="center"/>
    </xf>
    <xf borderId="0" fillId="0" fontId="43" numFmtId="0" xfId="0" applyAlignment="1" applyFont="1">
      <alignment horizontal="center" vertical="center"/>
    </xf>
    <xf borderId="0" fillId="0" fontId="42" numFmtId="0" xfId="0" applyAlignment="1" applyFont="1">
      <alignment horizontal="center"/>
    </xf>
    <xf borderId="0" fillId="0" fontId="43" numFmtId="0" xfId="0" applyAlignment="1" applyFont="1">
      <alignment horizontal="center"/>
    </xf>
    <xf borderId="0" fillId="0" fontId="5" numFmtId="16" xfId="0" applyAlignment="1" applyFont="1" applyNumberFormat="1">
      <alignment horizontal="left"/>
    </xf>
    <xf borderId="5" fillId="16" fontId="41" numFmtId="0" xfId="0" applyAlignment="1" applyBorder="1" applyFont="1">
      <alignment horizontal="center" vertical="center"/>
    </xf>
    <xf borderId="5" fillId="19" fontId="41" numFmtId="0" xfId="0" applyAlignment="1" applyBorder="1" applyFont="1">
      <alignment horizontal="center" vertical="center"/>
    </xf>
    <xf borderId="5" fillId="12" fontId="41" numFmtId="0" xfId="0" applyAlignment="1" applyBorder="1" applyFont="1">
      <alignment horizontal="center" vertical="center"/>
    </xf>
    <xf borderId="1" fillId="0" fontId="44" numFmtId="0" xfId="0" applyAlignment="1" applyBorder="1" applyFont="1">
      <alignment horizontal="center"/>
    </xf>
    <xf borderId="1" fillId="0" fontId="45" numFmtId="0" xfId="0" applyAlignment="1" applyBorder="1" applyFont="1">
      <alignment horizontal="center" vertical="center"/>
    </xf>
    <xf borderId="54" fillId="0" fontId="2" numFmtId="0" xfId="0" applyBorder="1" applyFont="1"/>
    <xf borderId="55" fillId="0" fontId="45" numFmtId="0" xfId="0" applyAlignment="1" applyBorder="1" applyFont="1">
      <alignment horizontal="center" vertical="center"/>
    </xf>
    <xf borderId="55" fillId="0" fontId="46" numFmtId="0" xfId="0" applyAlignment="1" applyBorder="1" applyFont="1">
      <alignment horizontal="center" vertical="center"/>
    </xf>
    <xf borderId="5" fillId="0" fontId="44" numFmtId="0" xfId="0" applyBorder="1" applyFont="1"/>
    <xf borderId="1" fillId="0" fontId="44" numFmtId="0" xfId="0" applyBorder="1" applyFont="1"/>
    <xf borderId="56" fillId="0" fontId="44" numFmtId="0" xfId="0" applyBorder="1" applyFont="1"/>
    <xf borderId="3" fillId="0" fontId="44" numFmtId="0" xfId="0" applyBorder="1" applyFont="1"/>
    <xf borderId="5" fillId="0" fontId="47" numFmtId="0" xfId="0" applyBorder="1" applyFont="1"/>
    <xf borderId="5" fillId="0" fontId="48" numFmtId="0" xfId="0" applyBorder="1" applyFont="1"/>
    <xf borderId="5" fillId="0" fontId="49" numFmtId="0" xfId="0" applyBorder="1" applyFont="1"/>
    <xf borderId="1" fillId="0" fontId="49" numFmtId="0" xfId="0" applyBorder="1" applyFont="1"/>
    <xf borderId="56" fillId="0" fontId="47" numFmtId="0" xfId="0" applyBorder="1" applyFont="1"/>
    <xf borderId="56" fillId="0" fontId="5" numFmtId="0" xfId="0" applyBorder="1" applyFont="1"/>
    <xf borderId="3" fillId="0" fontId="5" numFmtId="0" xfId="0" applyBorder="1" applyFont="1"/>
    <xf borderId="1" fillId="0" fontId="5" numFmtId="0" xfId="0" applyBorder="1" applyFont="1"/>
    <xf borderId="5" fillId="0" fontId="40" numFmtId="0" xfId="0" applyBorder="1" applyFont="1"/>
    <xf borderId="5" fillId="0" fontId="46" numFmtId="0" xfId="0" applyBorder="1" applyFont="1"/>
    <xf borderId="1" fillId="0" fontId="40" numFmtId="0" xfId="0" applyBorder="1" applyFont="1"/>
    <xf borderId="56" fillId="0" fontId="40" numFmtId="0" xfId="0" applyBorder="1" applyFont="1"/>
    <xf borderId="56" fillId="0" fontId="46" numFmtId="0" xfId="0" applyBorder="1" applyFont="1"/>
    <xf borderId="3" fillId="0" fontId="46" numFmtId="0" xfId="0" applyBorder="1" applyFont="1"/>
    <xf borderId="5" fillId="0" fontId="50" numFmtId="0" xfId="0" applyBorder="1" applyFont="1"/>
    <xf borderId="5" fillId="0" fontId="41" numFmtId="0" xfId="0" applyBorder="1" applyFont="1"/>
    <xf borderId="1" fillId="0" fontId="41" numFmtId="0" xfId="0" applyBorder="1" applyFont="1"/>
    <xf borderId="0" fillId="0" fontId="40" numFmtId="0" xfId="0" applyFont="1"/>
    <xf borderId="0" fillId="0" fontId="46" numFmtId="0" xfId="0" applyFont="1"/>
    <xf borderId="2" fillId="0" fontId="45" numFmtId="0" xfId="0" applyAlignment="1" applyBorder="1" applyFont="1">
      <alignment horizontal="center" vertical="center"/>
    </xf>
    <xf borderId="3" fillId="0" fontId="47" numFmtId="0" xfId="0" applyBorder="1" applyFont="1"/>
    <xf borderId="3" fillId="0" fontId="40" numFmtId="0" xfId="0" applyBorder="1" applyFont="1"/>
    <xf borderId="0" fillId="0" fontId="44" numFmtId="0" xfId="0" applyFont="1"/>
    <xf borderId="0" fillId="0" fontId="44" numFmtId="0" xfId="0" applyAlignment="1" applyFont="1">
      <alignment horizontal="left"/>
    </xf>
    <xf borderId="0" fillId="0" fontId="51" numFmtId="0" xfId="0" applyAlignment="1" applyFont="1">
      <alignment horizontal="center"/>
    </xf>
    <xf borderId="0" fillId="0" fontId="44" numFmtId="0" xfId="0" applyAlignment="1" applyFont="1">
      <alignment horizontal="center"/>
    </xf>
    <xf borderId="0" fillId="0" fontId="29" numFmtId="0" xfId="0" applyAlignment="1" applyFont="1">
      <alignment horizontal="center"/>
    </xf>
    <xf borderId="35" fillId="27" fontId="11" numFmtId="0" xfId="0" applyAlignment="1" applyBorder="1" applyFont="1">
      <alignment horizontal="center"/>
    </xf>
    <xf borderId="35" fillId="16" fontId="11" numFmtId="0" xfId="0" applyAlignment="1" applyBorder="1" applyFont="1">
      <alignment horizontal="center"/>
    </xf>
    <xf borderId="35" fillId="12" fontId="11" numFmtId="0" xfId="0" applyAlignment="1" applyBorder="1" applyFont="1">
      <alignment horizontal="center"/>
    </xf>
    <xf borderId="35" fillId="25" fontId="5" numFmtId="0" xfId="0" applyAlignment="1" applyBorder="1" applyFont="1">
      <alignment horizontal="center"/>
    </xf>
    <xf borderId="35" fillId="21" fontId="5" numFmtId="0" xfId="0" applyAlignment="1" applyBorder="1" applyFont="1">
      <alignment horizontal="center"/>
    </xf>
    <xf borderId="35" fillId="19" fontId="5" numFmtId="0" xfId="0" applyAlignment="1" applyBorder="1" applyFont="1">
      <alignment horizontal="center"/>
    </xf>
    <xf borderId="38" fillId="27" fontId="19" numFmtId="0" xfId="0" applyAlignment="1" applyBorder="1" applyFont="1">
      <alignment horizontal="center"/>
    </xf>
    <xf borderId="38" fillId="16" fontId="19" numFmtId="0" xfId="0" applyAlignment="1" applyBorder="1" applyFont="1">
      <alignment horizontal="center"/>
    </xf>
    <xf borderId="38" fillId="12" fontId="19" numFmtId="0" xfId="0" applyAlignment="1" applyBorder="1" applyFont="1">
      <alignment horizontal="center"/>
    </xf>
    <xf borderId="38" fillId="25" fontId="19" numFmtId="0" xfId="0" applyAlignment="1" applyBorder="1" applyFont="1">
      <alignment horizontal="center"/>
    </xf>
    <xf borderId="38" fillId="20" fontId="19" numFmtId="0" xfId="0" applyAlignment="1" applyBorder="1" applyFont="1">
      <alignment horizontal="center"/>
    </xf>
    <xf borderId="38" fillId="21" fontId="19" numFmtId="0" xfId="0" applyAlignment="1" applyBorder="1" applyFont="1">
      <alignment horizontal="center"/>
    </xf>
    <xf borderId="38" fillId="19" fontId="19" numFmtId="0" xfId="0" applyAlignment="1" applyBorder="1" applyFont="1">
      <alignment horizontal="center"/>
    </xf>
    <xf borderId="38" fillId="12" fontId="5" numFmtId="0" xfId="0" applyAlignment="1" applyBorder="1" applyFont="1">
      <alignment horizontal="center"/>
    </xf>
    <xf borderId="38" fillId="25" fontId="5" numFmtId="0" xfId="0" applyAlignment="1" applyBorder="1" applyFont="1">
      <alignment horizontal="center"/>
    </xf>
    <xf borderId="38" fillId="19" fontId="5" numFmtId="0" xfId="0" applyAlignment="1" applyBorder="1" applyFont="1">
      <alignment horizontal="center"/>
    </xf>
    <xf borderId="38" fillId="27" fontId="5" numFmtId="0" xfId="0" applyAlignment="1" applyBorder="1" applyFont="1">
      <alignment horizontal="center"/>
    </xf>
    <xf borderId="38" fillId="21" fontId="5" numFmtId="0" xfId="0" applyAlignment="1" applyBorder="1" applyFont="1">
      <alignment horizontal="center"/>
    </xf>
    <xf borderId="57" fillId="0" fontId="5" numFmtId="0" xfId="0" applyAlignment="1" applyBorder="1" applyFont="1">
      <alignment horizontal="center"/>
    </xf>
    <xf borderId="58" fillId="27" fontId="5" numFmtId="0" xfId="0" applyAlignment="1" applyBorder="1" applyFont="1">
      <alignment horizontal="center"/>
    </xf>
    <xf borderId="58" fillId="16" fontId="5" numFmtId="0" xfId="0" applyAlignment="1" applyBorder="1" applyFont="1">
      <alignment horizontal="center"/>
    </xf>
    <xf borderId="58" fillId="12" fontId="5" numFmtId="0" xfId="0" applyAlignment="1" applyBorder="1" applyFont="1">
      <alignment horizontal="center"/>
    </xf>
    <xf borderId="58" fillId="25" fontId="5" numFmtId="0" xfId="0" applyAlignment="1" applyBorder="1" applyFont="1">
      <alignment horizontal="center"/>
    </xf>
    <xf borderId="58" fillId="20" fontId="5" numFmtId="0" xfId="0" applyAlignment="1" applyBorder="1" applyFont="1">
      <alignment horizontal="center"/>
    </xf>
    <xf borderId="58" fillId="21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3" width="3.71"/>
    <col customWidth="1" min="4" max="4" width="9.71"/>
    <col customWidth="1" min="5" max="7" width="3.71"/>
    <col customWidth="1" min="8" max="8" width="9.71"/>
    <col customWidth="1" min="9" max="10" width="3.71"/>
    <col customWidth="1" min="11" max="11" width="9.71"/>
    <col customWidth="1" min="12" max="14" width="3.71"/>
    <col customWidth="1" min="15" max="15" width="9.71"/>
    <col customWidth="1" min="16" max="17" width="3.71"/>
    <col customWidth="1" min="18" max="18" width="9.71"/>
    <col customWidth="1" min="19" max="21" width="3.71"/>
    <col customWidth="1" min="22" max="22" width="9.71"/>
    <col customWidth="1" min="23" max="24" width="3.71"/>
    <col customWidth="1" min="25" max="25" width="9.71"/>
    <col customWidth="1" min="26" max="28" width="3.71"/>
    <col customWidth="1" min="29" max="29" width="9.71"/>
    <col customWidth="1" min="30" max="31" width="3.71"/>
    <col customWidth="1" min="32" max="32" width="9.71"/>
    <col customWidth="1" min="33" max="34" width="3.71"/>
  </cols>
  <sheetData>
    <row r="1" ht="14.25" customHeight="1">
      <c r="L1" s="1" t="s">
        <v>0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4.25" customHeight="1"/>
    <row r="3" ht="14.25" customHeight="1">
      <c r="L3" s="4" t="s">
        <v>1</v>
      </c>
      <c r="M3" s="2"/>
      <c r="N3" s="2"/>
      <c r="O3" s="2"/>
      <c r="P3" s="2"/>
      <c r="Q3" s="2"/>
      <c r="R3" s="2"/>
      <c r="S3" s="2"/>
      <c r="T3" s="2"/>
      <c r="U3" s="2"/>
      <c r="V3" s="2"/>
      <c r="W3" s="3"/>
      <c r="X3" s="5"/>
      <c r="Y3" s="5"/>
      <c r="Z3" s="5"/>
      <c r="AA3" s="5"/>
    </row>
    <row r="4" ht="14.25" customHeight="1">
      <c r="P4" s="6"/>
      <c r="Q4" s="6"/>
      <c r="R4" s="6"/>
      <c r="S4" s="6"/>
      <c r="T4" s="7"/>
      <c r="U4" s="7"/>
      <c r="V4" s="7"/>
      <c r="W4" s="7"/>
      <c r="X4" s="7"/>
      <c r="Y4" s="7"/>
      <c r="Z4" s="7"/>
      <c r="AA4" s="7"/>
    </row>
    <row r="5" ht="14.25" customHeight="1">
      <c r="P5" s="8">
        <v>43556.0</v>
      </c>
      <c r="Q5" s="2"/>
      <c r="R5" s="2"/>
      <c r="S5" s="3"/>
    </row>
    <row r="6" ht="14.25" customHeight="1"/>
    <row r="7" ht="14.25" customHeight="1">
      <c r="A7" s="9">
        <v>1.0</v>
      </c>
      <c r="B7" s="10">
        <v>43574.0</v>
      </c>
      <c r="C7" s="2"/>
      <c r="D7" s="2"/>
      <c r="E7" s="2"/>
      <c r="F7" s="3"/>
      <c r="H7" s="9">
        <v>2.0</v>
      </c>
      <c r="I7" s="10">
        <v>43581.0</v>
      </c>
      <c r="J7" s="2"/>
      <c r="K7" s="2"/>
      <c r="L7" s="2"/>
      <c r="M7" s="3"/>
      <c r="P7" s="11" t="s">
        <v>2</v>
      </c>
      <c r="Q7" s="2"/>
      <c r="R7" s="2"/>
      <c r="S7" s="2"/>
      <c r="T7" s="3"/>
      <c r="V7" s="12" t="s">
        <v>3</v>
      </c>
      <c r="W7" s="2"/>
      <c r="X7" s="3"/>
      <c r="Y7" s="13">
        <f>A8+D8+H8+K8</f>
        <v>30</v>
      </c>
      <c r="Z7" s="3"/>
    </row>
    <row r="8" ht="14.25" customHeight="1">
      <c r="A8" s="14">
        <v>8.0</v>
      </c>
      <c r="B8" s="2"/>
      <c r="C8" s="3"/>
      <c r="D8" s="15">
        <v>6.0</v>
      </c>
      <c r="E8" s="2"/>
      <c r="F8" s="3"/>
      <c r="H8" s="14">
        <v>10.0</v>
      </c>
      <c r="I8" s="2"/>
      <c r="J8" s="3"/>
      <c r="K8" s="15">
        <v>6.0</v>
      </c>
      <c r="L8" s="2"/>
      <c r="M8" s="3"/>
    </row>
    <row r="9" ht="14.25" customHeight="1">
      <c r="A9" s="16" t="s">
        <v>4</v>
      </c>
      <c r="B9" s="17"/>
      <c r="C9" s="18"/>
      <c r="D9" s="19" t="s">
        <v>5</v>
      </c>
      <c r="E9" s="20"/>
      <c r="F9" s="21">
        <v>1.0</v>
      </c>
      <c r="H9" s="16" t="s">
        <v>6</v>
      </c>
      <c r="I9" s="17"/>
      <c r="J9" s="18"/>
      <c r="K9" s="19" t="s">
        <v>7</v>
      </c>
      <c r="L9" s="20"/>
      <c r="M9" s="21">
        <v>1.0</v>
      </c>
      <c r="P9" s="22">
        <v>7.0</v>
      </c>
      <c r="Q9" s="23" t="s">
        <v>8</v>
      </c>
    </row>
    <row r="10" ht="14.25" customHeight="1">
      <c r="A10" s="24" t="s">
        <v>9</v>
      </c>
      <c r="B10" s="25"/>
      <c r="C10" s="18">
        <v>2.0</v>
      </c>
      <c r="D10" s="26" t="s">
        <v>10</v>
      </c>
      <c r="E10" s="27"/>
      <c r="F10" s="28"/>
      <c r="H10" s="24" t="s">
        <v>10</v>
      </c>
      <c r="I10" s="25"/>
      <c r="J10" s="18">
        <v>1.0</v>
      </c>
      <c r="K10" s="26" t="s">
        <v>11</v>
      </c>
      <c r="L10" s="27"/>
      <c r="M10" s="28">
        <v>3.0</v>
      </c>
      <c r="P10" s="22">
        <v>4.0</v>
      </c>
      <c r="Q10" s="23" t="s">
        <v>12</v>
      </c>
    </row>
    <row r="11" ht="14.25" customHeight="1">
      <c r="A11" s="24" t="s">
        <v>13</v>
      </c>
      <c r="B11" s="25"/>
      <c r="C11" s="18"/>
      <c r="D11" s="26" t="s">
        <v>14</v>
      </c>
      <c r="E11" s="27"/>
      <c r="F11" s="28">
        <v>2.0</v>
      </c>
      <c r="H11" s="24" t="s">
        <v>13</v>
      </c>
      <c r="I11" s="25"/>
      <c r="J11" s="18">
        <v>1.0</v>
      </c>
      <c r="K11" s="26" t="s">
        <v>15</v>
      </c>
      <c r="L11" s="27"/>
      <c r="M11" s="28">
        <v>1.0</v>
      </c>
      <c r="P11" s="22">
        <v>3.0</v>
      </c>
      <c r="Q11" s="23" t="s">
        <v>16</v>
      </c>
    </row>
    <row r="12" ht="14.25" customHeight="1">
      <c r="A12" s="24" t="s">
        <v>17</v>
      </c>
      <c r="B12" s="25"/>
      <c r="C12" s="18">
        <v>3.0</v>
      </c>
      <c r="D12" s="26" t="s">
        <v>18</v>
      </c>
      <c r="E12" s="27"/>
      <c r="F12" s="28">
        <v>2.0</v>
      </c>
      <c r="H12" s="24" t="s">
        <v>18</v>
      </c>
      <c r="I12" s="25"/>
      <c r="J12" s="18">
        <v>2.0</v>
      </c>
      <c r="K12" s="26" t="s">
        <v>17</v>
      </c>
      <c r="L12" s="27"/>
      <c r="M12" s="28">
        <v>1.0</v>
      </c>
      <c r="P12" s="22">
        <v>2.0</v>
      </c>
      <c r="Q12" s="23" t="s">
        <v>19</v>
      </c>
    </row>
    <row r="13" ht="14.25" customHeight="1">
      <c r="A13" s="29" t="s">
        <v>20</v>
      </c>
      <c r="B13" s="30"/>
      <c r="C13" s="31">
        <v>3.0</v>
      </c>
      <c r="D13" s="32" t="s">
        <v>7</v>
      </c>
      <c r="E13" s="33"/>
      <c r="F13" s="34"/>
      <c r="H13" s="29" t="s">
        <v>5</v>
      </c>
      <c r="I13" s="30"/>
      <c r="J13" s="31">
        <v>6.0</v>
      </c>
      <c r="K13" s="32" t="s">
        <v>20</v>
      </c>
      <c r="L13" s="33"/>
      <c r="M13" s="34"/>
      <c r="P13" s="22">
        <v>1.0</v>
      </c>
      <c r="Q13" s="23" t="s">
        <v>21</v>
      </c>
    </row>
    <row r="14" ht="14.25" customHeight="1">
      <c r="D14" s="35" t="s">
        <v>22</v>
      </c>
      <c r="E14" s="3"/>
      <c r="F14" s="34">
        <v>1.0</v>
      </c>
      <c r="P14" s="22">
        <v>1.0</v>
      </c>
      <c r="Q14" s="23" t="s">
        <v>23</v>
      </c>
    </row>
    <row r="15" ht="14.25" customHeight="1"/>
    <row r="16" ht="14.25" customHeight="1"/>
    <row r="17" ht="14.25" customHeight="1"/>
    <row r="18" ht="14.25" customHeight="1">
      <c r="A18" s="36"/>
      <c r="B18" s="37"/>
      <c r="G18" s="38"/>
      <c r="H18" s="37"/>
      <c r="I18" s="37"/>
      <c r="N18" s="38"/>
      <c r="O18" s="37"/>
      <c r="P18" s="8">
        <v>43586.0</v>
      </c>
      <c r="Q18" s="2"/>
      <c r="R18" s="2"/>
      <c r="S18" s="3"/>
      <c r="U18" s="38"/>
      <c r="V18" s="37"/>
      <c r="W18" s="37"/>
      <c r="AB18" s="38"/>
      <c r="AC18" s="37"/>
      <c r="AD18" s="37"/>
    </row>
    <row r="19" ht="14.25" customHeight="1"/>
    <row r="20" ht="14.25" customHeight="1">
      <c r="A20" s="9">
        <v>3.0</v>
      </c>
      <c r="B20" s="10">
        <v>43588.0</v>
      </c>
      <c r="C20" s="2"/>
      <c r="D20" s="2"/>
      <c r="E20" s="2"/>
      <c r="F20" s="3"/>
      <c r="H20" s="9">
        <v>4.0</v>
      </c>
      <c r="I20" s="10">
        <v>43595.0</v>
      </c>
      <c r="J20" s="2"/>
      <c r="K20" s="2"/>
      <c r="L20" s="2"/>
      <c r="M20" s="3"/>
      <c r="O20" s="9">
        <v>5.0</v>
      </c>
      <c r="P20" s="10">
        <v>43602.0</v>
      </c>
      <c r="Q20" s="2"/>
      <c r="R20" s="2"/>
      <c r="S20" s="2"/>
      <c r="T20" s="3"/>
      <c r="V20" s="9">
        <v>6.0</v>
      </c>
      <c r="W20" s="10">
        <v>43609.0</v>
      </c>
      <c r="X20" s="2"/>
      <c r="Y20" s="2"/>
      <c r="Z20" s="2"/>
      <c r="AA20" s="3"/>
      <c r="AC20" s="9">
        <v>7.0</v>
      </c>
      <c r="AD20" s="10">
        <v>43616.0</v>
      </c>
      <c r="AE20" s="2"/>
      <c r="AF20" s="2"/>
      <c r="AG20" s="2"/>
      <c r="AH20" s="3"/>
    </row>
    <row r="21" ht="14.25" customHeight="1">
      <c r="A21" s="14">
        <v>4.0</v>
      </c>
      <c r="B21" s="2"/>
      <c r="C21" s="3"/>
      <c r="D21" s="15">
        <v>6.0</v>
      </c>
      <c r="E21" s="2"/>
      <c r="F21" s="3"/>
      <c r="H21" s="39">
        <v>8.0</v>
      </c>
      <c r="I21" s="2"/>
      <c r="J21" s="3"/>
      <c r="K21" s="15">
        <v>8.0</v>
      </c>
      <c r="L21" s="2"/>
      <c r="M21" s="3"/>
      <c r="O21" s="14">
        <v>6.0</v>
      </c>
      <c r="P21" s="2"/>
      <c r="Q21" s="3"/>
      <c r="R21" s="15">
        <v>2.0</v>
      </c>
      <c r="S21" s="2"/>
      <c r="T21" s="3"/>
      <c r="V21" s="14">
        <v>2.0</v>
      </c>
      <c r="W21" s="2"/>
      <c r="X21" s="3"/>
      <c r="Y21" s="15">
        <v>6.0</v>
      </c>
      <c r="Z21" s="2"/>
      <c r="AA21" s="3"/>
      <c r="AC21" s="14">
        <v>9.0</v>
      </c>
      <c r="AD21" s="2"/>
      <c r="AE21" s="3"/>
      <c r="AF21" s="15">
        <v>10.0</v>
      </c>
      <c r="AG21" s="2"/>
      <c r="AH21" s="3"/>
    </row>
    <row r="22" ht="14.25" customHeight="1">
      <c r="A22" s="16" t="s">
        <v>17</v>
      </c>
      <c r="B22" s="17"/>
      <c r="C22" s="18">
        <v>1.0</v>
      </c>
      <c r="D22" s="19" t="s">
        <v>10</v>
      </c>
      <c r="E22" s="20"/>
      <c r="F22" s="21">
        <v>2.0</v>
      </c>
      <c r="H22" s="40" t="s">
        <v>11</v>
      </c>
      <c r="I22" s="17"/>
      <c r="J22" s="41"/>
      <c r="K22" s="19" t="s">
        <v>5</v>
      </c>
      <c r="L22" s="20"/>
      <c r="M22" s="21">
        <v>1.0</v>
      </c>
      <c r="O22" s="16" t="s">
        <v>5</v>
      </c>
      <c r="P22" s="17"/>
      <c r="Q22" s="18"/>
      <c r="R22" s="19" t="s">
        <v>20</v>
      </c>
      <c r="S22" s="20"/>
      <c r="T22" s="21"/>
      <c r="V22" s="16" t="s">
        <v>14</v>
      </c>
      <c r="W22" s="17"/>
      <c r="X22" s="18"/>
      <c r="Y22" s="19" t="s">
        <v>5</v>
      </c>
      <c r="Z22" s="20"/>
      <c r="AA22" s="21"/>
      <c r="AC22" s="16" t="s">
        <v>15</v>
      </c>
      <c r="AD22" s="17"/>
      <c r="AE22" s="18">
        <v>1.0</v>
      </c>
      <c r="AF22" s="19" t="s">
        <v>11</v>
      </c>
      <c r="AG22" s="20"/>
      <c r="AH22" s="21">
        <v>1.0</v>
      </c>
    </row>
    <row r="23" ht="14.25" customHeight="1">
      <c r="A23" s="24" t="s">
        <v>18</v>
      </c>
      <c r="B23" s="25"/>
      <c r="C23" s="18"/>
      <c r="D23" s="26" t="s">
        <v>15</v>
      </c>
      <c r="E23" s="27"/>
      <c r="F23" s="28">
        <v>1.0</v>
      </c>
      <c r="H23" s="42" t="s">
        <v>6</v>
      </c>
      <c r="I23" s="25"/>
      <c r="J23" s="41">
        <v>2.0</v>
      </c>
      <c r="K23" s="26" t="s">
        <v>10</v>
      </c>
      <c r="L23" s="27"/>
      <c r="M23" s="28">
        <v>2.0</v>
      </c>
      <c r="O23" s="24" t="s">
        <v>11</v>
      </c>
      <c r="P23" s="25"/>
      <c r="Q23" s="18">
        <v>1.0</v>
      </c>
      <c r="R23" s="26" t="s">
        <v>4</v>
      </c>
      <c r="S23" s="27"/>
      <c r="T23" s="28">
        <v>1.0</v>
      </c>
      <c r="V23" s="24" t="s">
        <v>11</v>
      </c>
      <c r="W23" s="25"/>
      <c r="X23" s="18">
        <v>1.0</v>
      </c>
      <c r="Y23" s="26" t="s">
        <v>10</v>
      </c>
      <c r="Z23" s="27"/>
      <c r="AA23" s="28">
        <v>4.0</v>
      </c>
      <c r="AC23" s="24" t="s">
        <v>10</v>
      </c>
      <c r="AD23" s="25"/>
      <c r="AE23" s="18">
        <v>2.0</v>
      </c>
      <c r="AF23" s="26" t="s">
        <v>14</v>
      </c>
      <c r="AG23" s="27"/>
      <c r="AH23" s="28">
        <v>4.0</v>
      </c>
    </row>
    <row r="24" ht="14.25" customHeight="1">
      <c r="A24" s="24" t="s">
        <v>7</v>
      </c>
      <c r="B24" s="25"/>
      <c r="C24" s="18">
        <v>1.0</v>
      </c>
      <c r="D24" s="26" t="s">
        <v>24</v>
      </c>
      <c r="E24" s="27"/>
      <c r="F24" s="28"/>
      <c r="H24" s="42" t="s">
        <v>13</v>
      </c>
      <c r="I24" s="25"/>
      <c r="J24" s="41">
        <v>1.0</v>
      </c>
      <c r="K24" s="26" t="s">
        <v>7</v>
      </c>
      <c r="L24" s="27"/>
      <c r="M24" s="28">
        <v>1.0</v>
      </c>
      <c r="O24" s="24" t="s">
        <v>25</v>
      </c>
      <c r="P24" s="25"/>
      <c r="Q24" s="18">
        <v>2.0</v>
      </c>
      <c r="R24" s="26" t="s">
        <v>24</v>
      </c>
      <c r="S24" s="27"/>
      <c r="T24" s="28">
        <v>1.0</v>
      </c>
      <c r="V24" s="24" t="s">
        <v>15</v>
      </c>
      <c r="W24" s="25"/>
      <c r="X24" s="18">
        <v>1.0</v>
      </c>
      <c r="Y24" s="26" t="s">
        <v>7</v>
      </c>
      <c r="Z24" s="27"/>
      <c r="AA24" s="28">
        <v>1.0</v>
      </c>
      <c r="AC24" s="24" t="s">
        <v>5</v>
      </c>
      <c r="AD24" s="25"/>
      <c r="AE24" s="18">
        <v>2.0</v>
      </c>
      <c r="AF24" s="26" t="s">
        <v>26</v>
      </c>
      <c r="AG24" s="27"/>
      <c r="AH24" s="28"/>
    </row>
    <row r="25" ht="14.25" customHeight="1">
      <c r="A25" s="24" t="s">
        <v>11</v>
      </c>
      <c r="B25" s="25"/>
      <c r="C25" s="18">
        <v>1.0</v>
      </c>
      <c r="D25" s="26" t="s">
        <v>5</v>
      </c>
      <c r="E25" s="27"/>
      <c r="F25" s="28">
        <v>1.0</v>
      </c>
      <c r="H25" s="42" t="s">
        <v>4</v>
      </c>
      <c r="I25" s="25"/>
      <c r="J25" s="41">
        <v>3.0</v>
      </c>
      <c r="K25" s="26" t="s">
        <v>17</v>
      </c>
      <c r="L25" s="27"/>
      <c r="M25" s="28">
        <v>3.0</v>
      </c>
      <c r="O25" s="24" t="s">
        <v>17</v>
      </c>
      <c r="P25" s="25"/>
      <c r="Q25" s="18">
        <v>2.0</v>
      </c>
      <c r="R25" s="26" t="s">
        <v>18</v>
      </c>
      <c r="S25" s="27"/>
      <c r="T25" s="28"/>
      <c r="V25" s="24" t="s">
        <v>6</v>
      </c>
      <c r="W25" s="25"/>
      <c r="X25" s="18"/>
      <c r="Y25" s="26" t="s">
        <v>17</v>
      </c>
      <c r="Z25" s="27"/>
      <c r="AA25" s="28">
        <v>1.0</v>
      </c>
      <c r="AC25" s="24" t="s">
        <v>13</v>
      </c>
      <c r="AD25" s="25"/>
      <c r="AE25" s="18">
        <v>1.0</v>
      </c>
      <c r="AF25" s="26" t="s">
        <v>18</v>
      </c>
      <c r="AG25" s="27"/>
      <c r="AH25" s="28">
        <v>1.0</v>
      </c>
    </row>
    <row r="26" ht="14.25" customHeight="1">
      <c r="A26" s="29" t="s">
        <v>13</v>
      </c>
      <c r="B26" s="30"/>
      <c r="C26" s="31">
        <v>1.0</v>
      </c>
      <c r="D26" s="32" t="s">
        <v>4</v>
      </c>
      <c r="E26" s="33"/>
      <c r="F26" s="34">
        <v>2.0</v>
      </c>
      <c r="H26" s="43" t="s">
        <v>15</v>
      </c>
      <c r="I26" s="30"/>
      <c r="J26" s="44">
        <v>2.0</v>
      </c>
      <c r="K26" s="32" t="s">
        <v>18</v>
      </c>
      <c r="L26" s="33"/>
      <c r="M26" s="34">
        <v>1.0</v>
      </c>
      <c r="O26" s="29" t="s">
        <v>7</v>
      </c>
      <c r="P26" s="30"/>
      <c r="Q26" s="31">
        <v>1.0</v>
      </c>
      <c r="R26" s="32" t="s">
        <v>13</v>
      </c>
      <c r="S26" s="33"/>
      <c r="T26" s="34"/>
      <c r="V26" s="29" t="s">
        <v>18</v>
      </c>
      <c r="W26" s="30"/>
      <c r="X26" s="31"/>
      <c r="Y26" s="32" t="s">
        <v>4</v>
      </c>
      <c r="Z26" s="33"/>
      <c r="AA26" s="34"/>
      <c r="AC26" s="29" t="s">
        <v>17</v>
      </c>
      <c r="AD26" s="30"/>
      <c r="AE26" s="31">
        <v>3.0</v>
      </c>
      <c r="AF26" s="32" t="s">
        <v>7</v>
      </c>
      <c r="AG26" s="33"/>
      <c r="AH26" s="34">
        <v>4.0</v>
      </c>
    </row>
    <row r="27" ht="14.25" customHeight="1"/>
    <row r="28" ht="14.25" customHeight="1">
      <c r="B28" s="45" t="s">
        <v>27</v>
      </c>
      <c r="C28" s="2"/>
      <c r="D28" s="2"/>
      <c r="E28" s="2"/>
      <c r="F28" s="46"/>
      <c r="G28" s="47"/>
      <c r="H28" s="48"/>
      <c r="K28" s="49" t="s">
        <v>3</v>
      </c>
      <c r="L28" s="17"/>
    </row>
    <row r="29" ht="14.25" customHeight="1">
      <c r="K29" s="50">
        <f>A21+D21+H21+K21+O21+R21+V21+Y21+AC21+AF21</f>
        <v>61</v>
      </c>
      <c r="L29" s="30"/>
    </row>
    <row r="30" ht="14.25" customHeight="1">
      <c r="A30" s="22">
        <v>10.0</v>
      </c>
      <c r="B30" s="23" t="s">
        <v>28</v>
      </c>
    </row>
    <row r="31" ht="14.25" customHeight="1">
      <c r="A31" s="22">
        <v>8.0</v>
      </c>
      <c r="B31" s="23" t="s">
        <v>29</v>
      </c>
    </row>
    <row r="32" ht="14.25" customHeight="1">
      <c r="A32" s="22">
        <v>6.0</v>
      </c>
      <c r="B32" s="23" t="s">
        <v>30</v>
      </c>
    </row>
    <row r="33" ht="14.25" customHeight="1">
      <c r="A33" s="22">
        <v>5.0</v>
      </c>
      <c r="B33" s="23" t="s">
        <v>31</v>
      </c>
    </row>
    <row r="34" ht="14.25" customHeight="1">
      <c r="A34" s="22">
        <v>4.0</v>
      </c>
      <c r="B34" s="23" t="s">
        <v>32</v>
      </c>
    </row>
    <row r="35" ht="14.25" customHeight="1">
      <c r="A35" s="22">
        <v>3.0</v>
      </c>
      <c r="B35" s="23" t="s">
        <v>33</v>
      </c>
    </row>
    <row r="36" ht="14.25" customHeight="1">
      <c r="A36" s="22">
        <v>2.0</v>
      </c>
      <c r="B36" s="23" t="s">
        <v>34</v>
      </c>
    </row>
    <row r="37" ht="14.25" customHeight="1">
      <c r="A37" s="22">
        <v>1.0</v>
      </c>
      <c r="B37" s="23" t="s">
        <v>35</v>
      </c>
    </row>
    <row r="38" ht="14.25" customHeight="1"/>
    <row r="39" ht="14.25" customHeight="1">
      <c r="A39" s="36"/>
      <c r="B39" s="37"/>
      <c r="G39" s="38"/>
      <c r="H39" s="37"/>
      <c r="I39" s="37"/>
      <c r="N39" s="38"/>
      <c r="O39" s="37"/>
      <c r="P39" s="8">
        <v>43617.0</v>
      </c>
      <c r="Q39" s="2"/>
      <c r="R39" s="2"/>
      <c r="S39" s="3"/>
      <c r="U39" s="38"/>
      <c r="V39" s="37"/>
      <c r="W39" s="37"/>
    </row>
    <row r="40" ht="14.25" customHeight="1"/>
    <row r="41" ht="14.25" customHeight="1">
      <c r="A41" s="9">
        <v>8.0</v>
      </c>
      <c r="B41" s="10">
        <v>43623.0</v>
      </c>
      <c r="C41" s="2"/>
      <c r="D41" s="2"/>
      <c r="E41" s="2"/>
      <c r="F41" s="3"/>
      <c r="H41" s="9">
        <v>9.0</v>
      </c>
      <c r="I41" s="10">
        <v>43630.0</v>
      </c>
      <c r="J41" s="2"/>
      <c r="K41" s="2"/>
      <c r="L41" s="2"/>
      <c r="M41" s="3"/>
      <c r="O41" s="9">
        <v>10.0</v>
      </c>
      <c r="P41" s="10">
        <v>43637.0</v>
      </c>
      <c r="Q41" s="2"/>
      <c r="R41" s="2"/>
      <c r="S41" s="2"/>
      <c r="T41" s="3"/>
      <c r="V41" s="9">
        <v>11.0</v>
      </c>
      <c r="W41" s="10">
        <v>43644.0</v>
      </c>
      <c r="X41" s="2"/>
      <c r="Y41" s="2"/>
      <c r="Z41" s="2"/>
      <c r="AA41" s="3"/>
      <c r="AC41" s="51" t="s">
        <v>2</v>
      </c>
      <c r="AD41" s="2"/>
      <c r="AE41" s="2"/>
      <c r="AF41" s="2"/>
      <c r="AG41" s="3"/>
    </row>
    <row r="42" ht="14.25" customHeight="1">
      <c r="A42" s="14">
        <v>4.0</v>
      </c>
      <c r="B42" s="2"/>
      <c r="C42" s="3"/>
      <c r="D42" s="15">
        <v>6.0</v>
      </c>
      <c r="E42" s="2"/>
      <c r="F42" s="3"/>
      <c r="H42" s="14">
        <v>6.0</v>
      </c>
      <c r="I42" s="2"/>
      <c r="J42" s="3"/>
      <c r="K42" s="15">
        <v>6.0</v>
      </c>
      <c r="L42" s="2"/>
      <c r="M42" s="3"/>
      <c r="O42" s="14">
        <v>6.0</v>
      </c>
      <c r="P42" s="2"/>
      <c r="Q42" s="3"/>
      <c r="R42" s="15">
        <v>10.0</v>
      </c>
      <c r="S42" s="2"/>
      <c r="T42" s="3"/>
      <c r="V42" s="14">
        <v>9.0</v>
      </c>
      <c r="W42" s="2"/>
      <c r="X42" s="3"/>
      <c r="Y42" s="15">
        <v>2.0</v>
      </c>
      <c r="Z42" s="2"/>
      <c r="AA42" s="3"/>
      <c r="AC42" s="22"/>
    </row>
    <row r="43" ht="14.25" customHeight="1">
      <c r="A43" s="16" t="s">
        <v>18</v>
      </c>
      <c r="B43" s="17"/>
      <c r="C43" s="18"/>
      <c r="D43" s="19" t="s">
        <v>10</v>
      </c>
      <c r="E43" s="20"/>
      <c r="F43" s="21">
        <v>2.0</v>
      </c>
      <c r="H43" s="16" t="s">
        <v>18</v>
      </c>
      <c r="I43" s="17"/>
      <c r="J43" s="18"/>
      <c r="K43" s="19" t="s">
        <v>10</v>
      </c>
      <c r="L43" s="20"/>
      <c r="M43" s="21"/>
      <c r="O43" s="16" t="s">
        <v>18</v>
      </c>
      <c r="P43" s="17"/>
      <c r="Q43" s="18"/>
      <c r="R43" s="19" t="s">
        <v>10</v>
      </c>
      <c r="S43" s="20"/>
      <c r="T43" s="21"/>
      <c r="V43" s="16" t="s">
        <v>13</v>
      </c>
      <c r="W43" s="17"/>
      <c r="X43" s="18">
        <v>2.0</v>
      </c>
      <c r="Y43" s="19" t="s">
        <v>7</v>
      </c>
      <c r="Z43" s="20"/>
      <c r="AA43" s="21"/>
      <c r="AC43" s="22">
        <v>10.0</v>
      </c>
      <c r="AD43" s="52" t="s">
        <v>36</v>
      </c>
    </row>
    <row r="44" ht="14.25" customHeight="1">
      <c r="A44" s="24" t="s">
        <v>15</v>
      </c>
      <c r="B44" s="25"/>
      <c r="C44" s="18"/>
      <c r="D44" s="26" t="s">
        <v>7</v>
      </c>
      <c r="E44" s="27"/>
      <c r="F44" s="28"/>
      <c r="H44" s="24" t="s">
        <v>15</v>
      </c>
      <c r="I44" s="25"/>
      <c r="J44" s="18"/>
      <c r="K44" s="26" t="s">
        <v>7</v>
      </c>
      <c r="L44" s="27"/>
      <c r="M44" s="28"/>
      <c r="O44" s="24" t="s">
        <v>26</v>
      </c>
      <c r="P44" s="25"/>
      <c r="Q44" s="18">
        <v>3.0</v>
      </c>
      <c r="R44" s="26" t="s">
        <v>14</v>
      </c>
      <c r="S44" s="27"/>
      <c r="T44" s="28">
        <v>3.0</v>
      </c>
      <c r="V44" s="24" t="s">
        <v>14</v>
      </c>
      <c r="W44" s="25"/>
      <c r="X44" s="18">
        <v>3.0</v>
      </c>
      <c r="Y44" s="26" t="s">
        <v>5</v>
      </c>
      <c r="Z44" s="27"/>
      <c r="AA44" s="28"/>
      <c r="AC44" s="22">
        <v>8.0</v>
      </c>
      <c r="AD44" s="52" t="s">
        <v>37</v>
      </c>
    </row>
    <row r="45" ht="14.25" customHeight="1">
      <c r="A45" s="24" t="s">
        <v>14</v>
      </c>
      <c r="B45" s="25"/>
      <c r="C45" s="18">
        <v>2.0</v>
      </c>
      <c r="D45" s="26" t="s">
        <v>26</v>
      </c>
      <c r="E45" s="27"/>
      <c r="F45" s="28"/>
      <c r="H45" s="24" t="s">
        <v>14</v>
      </c>
      <c r="I45" s="25"/>
      <c r="J45" s="18">
        <v>2.0</v>
      </c>
      <c r="K45" s="26" t="s">
        <v>11</v>
      </c>
      <c r="L45" s="27"/>
      <c r="M45" s="28">
        <v>2.0</v>
      </c>
      <c r="O45" s="24" t="s">
        <v>15</v>
      </c>
      <c r="P45" s="25"/>
      <c r="Q45" s="18"/>
      <c r="R45" s="26" t="s">
        <v>20</v>
      </c>
      <c r="S45" s="27"/>
      <c r="T45" s="28">
        <v>3.0</v>
      </c>
      <c r="V45" s="24" t="s">
        <v>17</v>
      </c>
      <c r="W45" s="25"/>
      <c r="X45" s="18">
        <v>3.0</v>
      </c>
      <c r="Y45" s="26" t="s">
        <v>18</v>
      </c>
      <c r="Z45" s="27"/>
      <c r="AA45" s="28"/>
      <c r="AC45" s="22">
        <v>6.0</v>
      </c>
      <c r="AD45" s="52" t="s">
        <v>38</v>
      </c>
    </row>
    <row r="46" ht="14.25" customHeight="1">
      <c r="A46" s="24" t="s">
        <v>4</v>
      </c>
      <c r="B46" s="25"/>
      <c r="C46" s="18"/>
      <c r="D46" s="26" t="s">
        <v>11</v>
      </c>
      <c r="E46" s="27"/>
      <c r="F46" s="28">
        <v>1.0</v>
      </c>
      <c r="H46" s="24" t="s">
        <v>20</v>
      </c>
      <c r="I46" s="25"/>
      <c r="J46" s="18">
        <v>2.0</v>
      </c>
      <c r="K46" s="26" t="s">
        <v>5</v>
      </c>
      <c r="L46" s="27"/>
      <c r="M46" s="28">
        <v>2.0</v>
      </c>
      <c r="O46" s="24" t="s">
        <v>17</v>
      </c>
      <c r="P46" s="25"/>
      <c r="Q46" s="18">
        <v>1.0</v>
      </c>
      <c r="R46" s="26" t="s">
        <v>39</v>
      </c>
      <c r="S46" s="27"/>
      <c r="T46" s="28"/>
      <c r="V46" s="24" t="s">
        <v>20</v>
      </c>
      <c r="W46" s="25"/>
      <c r="X46" s="18">
        <v>1.0</v>
      </c>
      <c r="Y46" s="26" t="s">
        <v>40</v>
      </c>
      <c r="Z46" s="27"/>
      <c r="AA46" s="28">
        <v>1.0</v>
      </c>
      <c r="AC46" s="22">
        <v>5.0</v>
      </c>
      <c r="AD46" s="52" t="s">
        <v>41</v>
      </c>
    </row>
    <row r="47" ht="14.25" customHeight="1">
      <c r="A47" s="29" t="s">
        <v>17</v>
      </c>
      <c r="B47" s="30"/>
      <c r="C47" s="31">
        <v>2.0</v>
      </c>
      <c r="D47" s="32" t="s">
        <v>13</v>
      </c>
      <c r="E47" s="33"/>
      <c r="F47" s="34">
        <v>2.0</v>
      </c>
      <c r="H47" s="29" t="s">
        <v>13</v>
      </c>
      <c r="I47" s="30"/>
      <c r="J47" s="31">
        <v>1.0</v>
      </c>
      <c r="K47" s="32" t="s">
        <v>17</v>
      </c>
      <c r="L47" s="33"/>
      <c r="M47" s="34">
        <v>2.0</v>
      </c>
      <c r="O47" s="29" t="s">
        <v>11</v>
      </c>
      <c r="P47" s="30"/>
      <c r="Q47" s="31">
        <v>2.0</v>
      </c>
      <c r="R47" s="32" t="s">
        <v>13</v>
      </c>
      <c r="S47" s="33"/>
      <c r="T47" s="34">
        <v>3.0</v>
      </c>
      <c r="V47" s="29" t="s">
        <v>15</v>
      </c>
      <c r="W47" s="30"/>
      <c r="X47" s="31"/>
      <c r="Y47" s="32" t="s">
        <v>24</v>
      </c>
      <c r="Z47" s="33"/>
      <c r="AA47" s="34">
        <v>1.0</v>
      </c>
      <c r="AC47" s="22">
        <v>3.0</v>
      </c>
      <c r="AD47" s="52" t="s">
        <v>42</v>
      </c>
    </row>
    <row r="48" ht="14.25" customHeight="1">
      <c r="D48" s="35" t="s">
        <v>22</v>
      </c>
      <c r="E48" s="3"/>
      <c r="F48" s="34">
        <v>1.0</v>
      </c>
      <c r="H48" s="53" t="s">
        <v>43</v>
      </c>
      <c r="I48" s="3"/>
      <c r="J48" s="54">
        <v>1.0</v>
      </c>
      <c r="R48" s="35" t="s">
        <v>44</v>
      </c>
      <c r="S48" s="3"/>
      <c r="T48" s="34">
        <v>1.0</v>
      </c>
      <c r="AC48" s="22">
        <v>2.0</v>
      </c>
      <c r="AD48" s="52" t="s">
        <v>45</v>
      </c>
    </row>
    <row r="49" ht="14.25" customHeight="1">
      <c r="B49" s="48"/>
      <c r="C49" s="48"/>
      <c r="D49" s="48"/>
      <c r="E49" s="48"/>
      <c r="F49" s="48"/>
      <c r="AC49" s="22">
        <v>1.0</v>
      </c>
      <c r="AD49" s="52" t="s">
        <v>46</v>
      </c>
    </row>
    <row r="50" ht="15.75" customHeight="1">
      <c r="H50" s="55" t="s">
        <v>3</v>
      </c>
      <c r="I50" s="2"/>
      <c r="J50" s="3"/>
      <c r="K50" s="56">
        <f>A42+D42+H42+K42+O42+R42+V42+Y42+AC42+AF42</f>
        <v>49</v>
      </c>
      <c r="L50" s="3"/>
      <c r="AC50" s="22">
        <v>1.0</v>
      </c>
      <c r="AD50" s="52" t="s">
        <v>47</v>
      </c>
    </row>
    <row r="51" ht="14.25" customHeight="1"/>
    <row r="52" ht="14.25" customHeight="1"/>
    <row r="53" ht="14.25" customHeight="1"/>
    <row r="54" ht="14.25" customHeight="1">
      <c r="A54" s="36"/>
      <c r="B54" s="37"/>
      <c r="G54" s="38"/>
      <c r="H54" s="37"/>
      <c r="I54" s="37"/>
      <c r="N54" s="38"/>
      <c r="O54" s="37"/>
      <c r="P54" s="8">
        <v>43647.0</v>
      </c>
      <c r="Q54" s="2"/>
      <c r="R54" s="2"/>
      <c r="S54" s="3"/>
      <c r="U54" s="38"/>
      <c r="V54" s="37"/>
      <c r="W54" s="37"/>
    </row>
    <row r="55" ht="14.25" customHeight="1"/>
    <row r="56" ht="14.25" customHeight="1">
      <c r="A56" s="9">
        <v>12.0</v>
      </c>
      <c r="B56" s="10">
        <v>43651.0</v>
      </c>
      <c r="C56" s="2"/>
      <c r="D56" s="2"/>
      <c r="E56" s="2"/>
      <c r="F56" s="3"/>
      <c r="H56" s="9">
        <v>13.0</v>
      </c>
      <c r="I56" s="10">
        <v>43658.0</v>
      </c>
      <c r="J56" s="2"/>
      <c r="K56" s="2"/>
      <c r="L56" s="2"/>
      <c r="M56" s="3"/>
      <c r="O56" s="9">
        <v>14.0</v>
      </c>
      <c r="P56" s="10">
        <v>43665.0</v>
      </c>
      <c r="Q56" s="2"/>
      <c r="R56" s="2"/>
      <c r="S56" s="2"/>
      <c r="T56" s="3"/>
      <c r="V56" s="9">
        <v>15.0</v>
      </c>
      <c r="W56" s="10">
        <v>43672.0</v>
      </c>
      <c r="X56" s="2"/>
      <c r="Y56" s="2"/>
      <c r="Z56" s="2"/>
      <c r="AA56" s="3"/>
      <c r="AC56" s="51" t="s">
        <v>48</v>
      </c>
      <c r="AD56" s="2"/>
      <c r="AE56" s="2"/>
      <c r="AF56" s="2"/>
      <c r="AG56" s="3"/>
    </row>
    <row r="57" ht="14.25" customHeight="1">
      <c r="A57" s="14">
        <v>6.0</v>
      </c>
      <c r="B57" s="2"/>
      <c r="C57" s="3"/>
      <c r="D57" s="15">
        <v>4.0</v>
      </c>
      <c r="E57" s="2"/>
      <c r="F57" s="3"/>
      <c r="H57" s="14">
        <v>5.0</v>
      </c>
      <c r="I57" s="2"/>
      <c r="J57" s="3"/>
      <c r="K57" s="15">
        <v>4.0</v>
      </c>
      <c r="L57" s="2"/>
      <c r="M57" s="3"/>
      <c r="O57" s="14">
        <v>7.0</v>
      </c>
      <c r="P57" s="2"/>
      <c r="Q57" s="3"/>
      <c r="R57" s="15">
        <v>4.0</v>
      </c>
      <c r="S57" s="2"/>
      <c r="T57" s="3"/>
      <c r="V57" s="14">
        <v>12.0</v>
      </c>
      <c r="W57" s="2"/>
      <c r="X57" s="3"/>
      <c r="Y57" s="15">
        <v>12.0</v>
      </c>
      <c r="Z57" s="2"/>
      <c r="AA57" s="3"/>
      <c r="AC57" s="22"/>
    </row>
    <row r="58" ht="14.25" customHeight="1">
      <c r="A58" s="16" t="s">
        <v>15</v>
      </c>
      <c r="B58" s="17"/>
      <c r="C58" s="18">
        <v>1.0</v>
      </c>
      <c r="D58" s="19" t="s">
        <v>20</v>
      </c>
      <c r="E58" s="20"/>
      <c r="F58" s="21">
        <v>1.0</v>
      </c>
      <c r="H58" s="16" t="s">
        <v>10</v>
      </c>
      <c r="I58" s="17"/>
      <c r="J58" s="18"/>
      <c r="K58" s="19" t="s">
        <v>13</v>
      </c>
      <c r="L58" s="20"/>
      <c r="M58" s="21">
        <v>2.0</v>
      </c>
      <c r="O58" s="16" t="s">
        <v>10</v>
      </c>
      <c r="P58" s="17"/>
      <c r="Q58" s="18">
        <v>1.0</v>
      </c>
      <c r="R58" s="19" t="s">
        <v>15</v>
      </c>
      <c r="S58" s="20"/>
      <c r="T58" s="21"/>
      <c r="V58" s="16" t="s">
        <v>4</v>
      </c>
      <c r="W58" s="17"/>
      <c r="X58" s="18">
        <v>4.0</v>
      </c>
      <c r="Y58" s="19" t="s">
        <v>13</v>
      </c>
      <c r="Z58" s="20"/>
      <c r="AA58" s="21">
        <v>7.0</v>
      </c>
      <c r="AC58" s="22">
        <v>10.0</v>
      </c>
      <c r="AD58" s="52" t="s">
        <v>33</v>
      </c>
    </row>
    <row r="59" ht="14.25" customHeight="1">
      <c r="A59" s="24" t="s">
        <v>14</v>
      </c>
      <c r="B59" s="25"/>
      <c r="C59" s="18">
        <v>2.0</v>
      </c>
      <c r="D59" s="26" t="s">
        <v>13</v>
      </c>
      <c r="E59" s="27"/>
      <c r="F59" s="28"/>
      <c r="H59" s="24" t="s">
        <v>20</v>
      </c>
      <c r="I59" s="25"/>
      <c r="J59" s="18">
        <v>2.0</v>
      </c>
      <c r="K59" s="26" t="s">
        <v>18</v>
      </c>
      <c r="L59" s="27"/>
      <c r="M59" s="28"/>
      <c r="O59" s="24" t="s">
        <v>14</v>
      </c>
      <c r="P59" s="25"/>
      <c r="Q59" s="18">
        <v>2.0</v>
      </c>
      <c r="R59" s="26" t="s">
        <v>20</v>
      </c>
      <c r="S59" s="27"/>
      <c r="T59" s="28"/>
      <c r="V59" s="24" t="s">
        <v>14</v>
      </c>
      <c r="W59" s="25"/>
      <c r="X59" s="18">
        <v>1.0</v>
      </c>
      <c r="Y59" s="26" t="s">
        <v>5</v>
      </c>
      <c r="Z59" s="27"/>
      <c r="AA59" s="28">
        <v>3.0</v>
      </c>
      <c r="AC59" s="22">
        <v>9.0</v>
      </c>
      <c r="AD59" s="52" t="s">
        <v>49</v>
      </c>
    </row>
    <row r="60" ht="14.25" customHeight="1">
      <c r="A60" s="24" t="s">
        <v>5</v>
      </c>
      <c r="B60" s="25"/>
      <c r="C60" s="18">
        <v>2.0</v>
      </c>
      <c r="D60" s="26" t="s">
        <v>18</v>
      </c>
      <c r="E60" s="27"/>
      <c r="F60" s="28">
        <v>1.0</v>
      </c>
      <c r="H60" s="24" t="s">
        <v>14</v>
      </c>
      <c r="I60" s="25"/>
      <c r="J60" s="18">
        <v>2.0</v>
      </c>
      <c r="K60" s="26" t="s">
        <v>11</v>
      </c>
      <c r="L60" s="27"/>
      <c r="M60" s="28">
        <v>1.0</v>
      </c>
      <c r="O60" s="24" t="s">
        <v>4</v>
      </c>
      <c r="P60" s="25"/>
      <c r="Q60" s="18">
        <v>3.0</v>
      </c>
      <c r="R60" s="26" t="s">
        <v>17</v>
      </c>
      <c r="S60" s="27"/>
      <c r="T60" s="28">
        <v>1.0</v>
      </c>
      <c r="V60" s="24" t="s">
        <v>18</v>
      </c>
      <c r="W60" s="25"/>
      <c r="X60" s="18">
        <v>1.0</v>
      </c>
      <c r="Y60" s="26" t="s">
        <v>7</v>
      </c>
      <c r="Z60" s="27"/>
      <c r="AA60" s="28"/>
      <c r="AC60" s="22">
        <v>8.0</v>
      </c>
      <c r="AD60" s="52" t="s">
        <v>8</v>
      </c>
    </row>
    <row r="61" ht="14.25" customHeight="1">
      <c r="A61" s="24" t="s">
        <v>10</v>
      </c>
      <c r="B61" s="25"/>
      <c r="C61" s="18">
        <v>1.0</v>
      </c>
      <c r="D61" s="26" t="s">
        <v>17</v>
      </c>
      <c r="E61" s="27"/>
      <c r="F61" s="28">
        <v>1.0</v>
      </c>
      <c r="H61" s="24" t="s">
        <v>17</v>
      </c>
      <c r="I61" s="25"/>
      <c r="J61" s="18"/>
      <c r="K61" s="26" t="s">
        <v>7</v>
      </c>
      <c r="L61" s="27"/>
      <c r="M61" s="28"/>
      <c r="O61" s="24" t="s">
        <v>7</v>
      </c>
      <c r="P61" s="25"/>
      <c r="Q61" s="18">
        <v>1.0</v>
      </c>
      <c r="R61" s="26" t="s">
        <v>13</v>
      </c>
      <c r="S61" s="27"/>
      <c r="T61" s="28">
        <v>1.0</v>
      </c>
      <c r="V61" s="24" t="s">
        <v>39</v>
      </c>
      <c r="W61" s="25"/>
      <c r="X61" s="18">
        <v>3.0</v>
      </c>
      <c r="Y61" s="26" t="s">
        <v>15</v>
      </c>
      <c r="Z61" s="27"/>
      <c r="AA61" s="28">
        <v>1.0</v>
      </c>
      <c r="AC61" s="22">
        <v>7.0</v>
      </c>
      <c r="AD61" s="52" t="s">
        <v>36</v>
      </c>
    </row>
    <row r="62" ht="14.25" customHeight="1">
      <c r="A62" s="29" t="s">
        <v>7</v>
      </c>
      <c r="B62" s="30"/>
      <c r="C62" s="31"/>
      <c r="D62" s="32" t="s">
        <v>4</v>
      </c>
      <c r="E62" s="33"/>
      <c r="F62" s="34">
        <v>1.0</v>
      </c>
      <c r="H62" s="29" t="s">
        <v>5</v>
      </c>
      <c r="I62" s="30"/>
      <c r="J62" s="31">
        <v>1.0</v>
      </c>
      <c r="K62" s="32" t="s">
        <v>4</v>
      </c>
      <c r="L62" s="33"/>
      <c r="M62" s="34">
        <v>1.0</v>
      </c>
      <c r="O62" s="29" t="s">
        <v>18</v>
      </c>
      <c r="P62" s="30"/>
      <c r="Q62" s="31"/>
      <c r="R62" s="32" t="s">
        <v>5</v>
      </c>
      <c r="S62" s="33"/>
      <c r="T62" s="34">
        <v>2.0</v>
      </c>
      <c r="V62" s="29" t="s">
        <v>11</v>
      </c>
      <c r="W62" s="30"/>
      <c r="X62" s="31">
        <v>3.0</v>
      </c>
      <c r="Y62" s="32" t="s">
        <v>17</v>
      </c>
      <c r="Z62" s="33"/>
      <c r="AA62" s="34">
        <v>1.0</v>
      </c>
      <c r="AC62" s="22">
        <v>4.0</v>
      </c>
      <c r="AD62" s="52" t="s">
        <v>41</v>
      </c>
    </row>
    <row r="63" ht="14.25" customHeight="1">
      <c r="AC63" s="22">
        <v>3.0</v>
      </c>
      <c r="AD63" s="52" t="s">
        <v>50</v>
      </c>
    </row>
    <row r="64" ht="14.25" customHeight="1">
      <c r="B64" s="48"/>
      <c r="C64" s="48"/>
      <c r="D64" s="48"/>
      <c r="E64" s="48"/>
      <c r="F64" s="48"/>
      <c r="AC64" s="22">
        <v>2.0</v>
      </c>
      <c r="AD64" s="52" t="s">
        <v>51</v>
      </c>
    </row>
    <row r="65" ht="14.25" customHeight="1">
      <c r="H65" s="55" t="s">
        <v>3</v>
      </c>
      <c r="I65" s="2"/>
      <c r="J65" s="3"/>
      <c r="K65" s="56">
        <f>A57+D57+H57+K57+O57+R57+V57+Y57+AC57+AF57</f>
        <v>54</v>
      </c>
      <c r="L65" s="3"/>
      <c r="AC65" s="22">
        <v>1.0</v>
      </c>
      <c r="AD65" s="52" t="s">
        <v>29</v>
      </c>
    </row>
    <row r="66" ht="14.25" customHeight="1">
      <c r="K66" s="57"/>
      <c r="L66" s="57"/>
    </row>
    <row r="67" ht="14.25" customHeight="1"/>
    <row r="68" ht="14.25" customHeight="1"/>
    <row r="69" ht="14.25" customHeight="1">
      <c r="A69" s="36"/>
      <c r="B69" s="37"/>
      <c r="G69" s="38"/>
      <c r="H69" s="37"/>
      <c r="I69" s="37"/>
      <c r="N69" s="38"/>
      <c r="O69" s="37"/>
      <c r="P69" s="8">
        <v>43678.0</v>
      </c>
      <c r="Q69" s="2"/>
      <c r="R69" s="2"/>
      <c r="S69" s="3"/>
      <c r="U69" s="38"/>
      <c r="V69" s="37"/>
      <c r="W69" s="37"/>
      <c r="AB69" s="38"/>
      <c r="AC69" s="37"/>
      <c r="AD69" s="37"/>
    </row>
    <row r="70" ht="14.25" customHeight="1"/>
    <row r="71" ht="14.25" customHeight="1">
      <c r="A71" s="9">
        <v>16.0</v>
      </c>
      <c r="B71" s="10">
        <v>43679.0</v>
      </c>
      <c r="C71" s="2"/>
      <c r="D71" s="2"/>
      <c r="E71" s="2"/>
      <c r="F71" s="3"/>
      <c r="H71" s="9">
        <v>17.0</v>
      </c>
      <c r="I71" s="10">
        <v>43686.0</v>
      </c>
      <c r="J71" s="2"/>
      <c r="K71" s="2"/>
      <c r="L71" s="2"/>
      <c r="M71" s="3"/>
      <c r="O71" s="9">
        <v>18.0</v>
      </c>
      <c r="P71" s="10" t="s">
        <v>52</v>
      </c>
      <c r="Q71" s="2"/>
      <c r="R71" s="2"/>
      <c r="S71" s="2"/>
      <c r="T71" s="3"/>
      <c r="V71" s="9">
        <v>19.0</v>
      </c>
      <c r="W71" s="10">
        <v>43700.0</v>
      </c>
      <c r="X71" s="2"/>
      <c r="Y71" s="2"/>
      <c r="Z71" s="2"/>
      <c r="AA71" s="3"/>
      <c r="AC71" s="9">
        <v>20.0</v>
      </c>
      <c r="AD71" s="58" t="s">
        <v>53</v>
      </c>
      <c r="AE71" s="2"/>
      <c r="AF71" s="2"/>
      <c r="AG71" s="2"/>
      <c r="AH71" s="3"/>
    </row>
    <row r="72" ht="22.5" customHeight="1">
      <c r="A72" s="14">
        <f>5</f>
        <v>5</v>
      </c>
      <c r="B72" s="2"/>
      <c r="C72" s="3"/>
      <c r="D72" s="15">
        <f>5</f>
        <v>5</v>
      </c>
      <c r="E72" s="2"/>
      <c r="F72" s="3"/>
      <c r="H72" s="14">
        <f>6</f>
        <v>6</v>
      </c>
      <c r="I72" s="2"/>
      <c r="J72" s="3"/>
      <c r="K72" s="15">
        <f>6</f>
        <v>6</v>
      </c>
      <c r="L72" s="2"/>
      <c r="M72" s="3"/>
      <c r="O72" s="14">
        <f>6</f>
        <v>6</v>
      </c>
      <c r="P72" s="2"/>
      <c r="Q72" s="3"/>
      <c r="R72" s="15">
        <f>7</f>
        <v>7</v>
      </c>
      <c r="S72" s="2"/>
      <c r="T72" s="3"/>
      <c r="V72" s="14">
        <v>10.0</v>
      </c>
      <c r="W72" s="2"/>
      <c r="X72" s="3"/>
      <c r="Y72" s="15">
        <v>8.0</v>
      </c>
      <c r="Z72" s="2"/>
      <c r="AA72" s="3"/>
      <c r="AC72" s="14">
        <v>5.0</v>
      </c>
      <c r="AD72" s="2"/>
      <c r="AE72" s="3"/>
      <c r="AF72" s="15">
        <v>7.0</v>
      </c>
      <c r="AG72" s="2"/>
      <c r="AH72" s="3"/>
    </row>
    <row r="73" ht="14.25" customHeight="1">
      <c r="A73" s="16" t="s">
        <v>10</v>
      </c>
      <c r="B73" s="17"/>
      <c r="C73" s="18">
        <v>1.0</v>
      </c>
      <c r="D73" s="19" t="s">
        <v>14</v>
      </c>
      <c r="E73" s="20"/>
      <c r="F73" s="21">
        <v>1.0</v>
      </c>
      <c r="H73" s="16" t="s">
        <v>5</v>
      </c>
      <c r="I73" s="17"/>
      <c r="J73" s="18">
        <v>2.0</v>
      </c>
      <c r="K73" s="19" t="s">
        <v>4</v>
      </c>
      <c r="L73" s="20"/>
      <c r="M73" s="21">
        <v>1.0</v>
      </c>
      <c r="O73" s="16" t="s">
        <v>17</v>
      </c>
      <c r="P73" s="17"/>
      <c r="Q73" s="18">
        <v>1.0</v>
      </c>
      <c r="R73" s="19" t="s">
        <v>54</v>
      </c>
      <c r="S73" s="20"/>
      <c r="T73" s="21">
        <v>3.0</v>
      </c>
      <c r="V73" s="16" t="s">
        <v>6</v>
      </c>
      <c r="W73" s="17"/>
      <c r="X73" s="18">
        <v>1.0</v>
      </c>
      <c r="Y73" s="19" t="s">
        <v>18</v>
      </c>
      <c r="Z73" s="20"/>
      <c r="AA73" s="21">
        <v>3.0</v>
      </c>
      <c r="AC73" s="16" t="s">
        <v>13</v>
      </c>
      <c r="AD73" s="17"/>
      <c r="AE73" s="18">
        <v>2.0</v>
      </c>
      <c r="AF73" s="19" t="s">
        <v>14</v>
      </c>
      <c r="AG73" s="20"/>
      <c r="AH73" s="21">
        <v>1.0</v>
      </c>
    </row>
    <row r="74" ht="14.25" customHeight="1">
      <c r="A74" s="24" t="s">
        <v>26</v>
      </c>
      <c r="B74" s="25"/>
      <c r="C74" s="18">
        <v>3.0</v>
      </c>
      <c r="D74" s="26" t="s">
        <v>4</v>
      </c>
      <c r="E74" s="27"/>
      <c r="F74" s="28">
        <v>1.0</v>
      </c>
      <c r="H74" s="24" t="s">
        <v>10</v>
      </c>
      <c r="I74" s="25"/>
      <c r="J74" s="18"/>
      <c r="K74" s="26" t="s">
        <v>18</v>
      </c>
      <c r="L74" s="27"/>
      <c r="M74" s="28">
        <v>1.0</v>
      </c>
      <c r="O74" s="24" t="s">
        <v>26</v>
      </c>
      <c r="P74" s="25"/>
      <c r="Q74" s="18">
        <v>3.0</v>
      </c>
      <c r="R74" s="26" t="s">
        <v>5</v>
      </c>
      <c r="S74" s="27"/>
      <c r="T74" s="28">
        <v>2.0</v>
      </c>
      <c r="V74" s="24" t="s">
        <v>26</v>
      </c>
      <c r="W74" s="25"/>
      <c r="X74" s="18">
        <v>2.0</v>
      </c>
      <c r="Y74" s="26" t="s">
        <v>14</v>
      </c>
      <c r="Z74" s="27"/>
      <c r="AA74" s="28">
        <v>2.0</v>
      </c>
      <c r="AC74" s="24" t="s">
        <v>7</v>
      </c>
      <c r="AD74" s="25"/>
      <c r="AE74" s="18"/>
      <c r="AF74" s="26" t="s">
        <v>4</v>
      </c>
      <c r="AG74" s="27"/>
      <c r="AH74" s="28"/>
    </row>
    <row r="75" ht="14.25" customHeight="1">
      <c r="A75" s="24" t="s">
        <v>13</v>
      </c>
      <c r="B75" s="25"/>
      <c r="C75" s="18">
        <v>1.0</v>
      </c>
      <c r="D75" s="26" t="s">
        <v>18</v>
      </c>
      <c r="E75" s="27"/>
      <c r="F75" s="28">
        <v>1.0</v>
      </c>
      <c r="H75" s="24" t="s">
        <v>6</v>
      </c>
      <c r="I75" s="25"/>
      <c r="J75" s="18"/>
      <c r="K75" s="26" t="s">
        <v>14</v>
      </c>
      <c r="L75" s="27"/>
      <c r="M75" s="28">
        <v>3.0</v>
      </c>
      <c r="O75" s="24" t="s">
        <v>13</v>
      </c>
      <c r="P75" s="25"/>
      <c r="Q75" s="18">
        <v>1.0</v>
      </c>
      <c r="R75" s="26" t="s">
        <v>6</v>
      </c>
      <c r="S75" s="27"/>
      <c r="T75" s="28">
        <v>1.0</v>
      </c>
      <c r="V75" s="24" t="s">
        <v>13</v>
      </c>
      <c r="W75" s="25"/>
      <c r="X75" s="18">
        <v>4.0</v>
      </c>
      <c r="Y75" s="26" t="s">
        <v>4</v>
      </c>
      <c r="Z75" s="27"/>
      <c r="AA75" s="28">
        <v>1.0</v>
      </c>
      <c r="AC75" s="24" t="s">
        <v>55</v>
      </c>
      <c r="AD75" s="25"/>
      <c r="AE75" s="18">
        <v>1.0</v>
      </c>
      <c r="AF75" s="26" t="s">
        <v>6</v>
      </c>
      <c r="AG75" s="27"/>
      <c r="AH75" s="28">
        <v>1.0</v>
      </c>
    </row>
    <row r="76" ht="14.25" customHeight="1">
      <c r="A76" s="24" t="s">
        <v>7</v>
      </c>
      <c r="B76" s="25"/>
      <c r="C76" s="18"/>
      <c r="D76" s="26" t="s">
        <v>39</v>
      </c>
      <c r="E76" s="27"/>
      <c r="F76" s="28">
        <v>2.0</v>
      </c>
      <c r="H76" s="24" t="s">
        <v>7</v>
      </c>
      <c r="I76" s="25"/>
      <c r="J76" s="18">
        <v>2.0</v>
      </c>
      <c r="K76" s="26" t="s">
        <v>17</v>
      </c>
      <c r="L76" s="27"/>
      <c r="M76" s="28"/>
      <c r="O76" s="24" t="s">
        <v>7</v>
      </c>
      <c r="P76" s="25"/>
      <c r="Q76" s="18"/>
      <c r="R76" s="26" t="s">
        <v>56</v>
      </c>
      <c r="S76" s="27"/>
      <c r="T76" s="28">
        <v>1.0</v>
      </c>
      <c r="V76" s="24" t="s">
        <v>10</v>
      </c>
      <c r="W76" s="25"/>
      <c r="X76" s="18">
        <v>1.0</v>
      </c>
      <c r="Y76" s="26" t="s">
        <v>5</v>
      </c>
      <c r="Z76" s="27"/>
      <c r="AA76" s="28">
        <v>1.0</v>
      </c>
      <c r="AC76" s="24" t="s">
        <v>5</v>
      </c>
      <c r="AD76" s="25"/>
      <c r="AE76" s="18"/>
      <c r="AF76" s="26" t="s">
        <v>17</v>
      </c>
      <c r="AG76" s="27"/>
      <c r="AH76" s="28">
        <v>3.0</v>
      </c>
    </row>
    <row r="77" ht="14.25" customHeight="1">
      <c r="A77" s="29" t="s">
        <v>17</v>
      </c>
      <c r="B77" s="30"/>
      <c r="C77" s="31"/>
      <c r="D77" s="32" t="s">
        <v>6</v>
      </c>
      <c r="E77" s="33"/>
      <c r="F77" s="34"/>
      <c r="H77" s="29" t="s">
        <v>13</v>
      </c>
      <c r="I77" s="30"/>
      <c r="J77" s="31">
        <v>2.0</v>
      </c>
      <c r="K77" s="32" t="s">
        <v>39</v>
      </c>
      <c r="L77" s="33"/>
      <c r="M77" s="34">
        <v>1.0</v>
      </c>
      <c r="O77" s="29" t="s">
        <v>57</v>
      </c>
      <c r="P77" s="30"/>
      <c r="Q77" s="31">
        <v>1.0</v>
      </c>
      <c r="R77" s="32" t="s">
        <v>10</v>
      </c>
      <c r="S77" s="33"/>
      <c r="T77" s="34"/>
      <c r="V77" s="29" t="s">
        <v>17</v>
      </c>
      <c r="W77" s="30"/>
      <c r="X77" s="31">
        <v>2.0</v>
      </c>
      <c r="Y77" s="32" t="s">
        <v>11</v>
      </c>
      <c r="Z77" s="33"/>
      <c r="AA77" s="34">
        <v>1.0</v>
      </c>
      <c r="AC77" s="29" t="s">
        <v>26</v>
      </c>
      <c r="AD77" s="30"/>
      <c r="AE77" s="31">
        <v>2.0</v>
      </c>
      <c r="AF77" s="32" t="s">
        <v>40</v>
      </c>
      <c r="AG77" s="33"/>
      <c r="AH77" s="34">
        <v>1.0</v>
      </c>
    </row>
    <row r="78" ht="14.25" customHeight="1">
      <c r="AF78" s="35" t="s">
        <v>58</v>
      </c>
      <c r="AG78" s="3"/>
      <c r="AH78" s="34">
        <v>1.0</v>
      </c>
    </row>
    <row r="79" ht="14.25" customHeight="1">
      <c r="B79" s="45" t="s">
        <v>59</v>
      </c>
      <c r="C79" s="2"/>
      <c r="D79" s="2"/>
      <c r="E79" s="2"/>
      <c r="F79" s="2"/>
      <c r="G79" s="2"/>
      <c r="H79" s="3"/>
      <c r="K79" s="49" t="s">
        <v>3</v>
      </c>
      <c r="L79" s="17"/>
    </row>
    <row r="80" ht="15.75" customHeight="1">
      <c r="K80" s="50">
        <f>A72+D72+H72+K72+O72+R72+V72+Y72+AC72+AF72</f>
        <v>65</v>
      </c>
      <c r="L80" s="30"/>
    </row>
    <row r="81" ht="15.75" customHeight="1">
      <c r="A81" s="22">
        <v>10.0</v>
      </c>
      <c r="B81" s="52" t="s">
        <v>60</v>
      </c>
      <c r="K81" s="57"/>
    </row>
    <row r="82" ht="14.25" customHeight="1">
      <c r="A82" s="22">
        <v>7.0</v>
      </c>
      <c r="B82" s="52" t="s">
        <v>36</v>
      </c>
    </row>
    <row r="83" ht="14.25" customHeight="1">
      <c r="A83" s="22">
        <v>6.0</v>
      </c>
      <c r="B83" s="52" t="s">
        <v>61</v>
      </c>
    </row>
    <row r="84" ht="14.25" customHeight="1">
      <c r="A84" s="22">
        <v>5.0</v>
      </c>
      <c r="B84" s="52" t="s">
        <v>62</v>
      </c>
    </row>
    <row r="85" ht="14.25" customHeight="1">
      <c r="A85" s="22">
        <v>3.0</v>
      </c>
      <c r="B85" s="52" t="s">
        <v>63</v>
      </c>
    </row>
    <row r="86" ht="14.25" customHeight="1">
      <c r="A86" s="22">
        <v>2.0</v>
      </c>
      <c r="B86" s="52" t="s">
        <v>64</v>
      </c>
    </row>
    <row r="87" ht="14.25" customHeight="1">
      <c r="A87" s="22">
        <v>1.0</v>
      </c>
      <c r="B87" s="52" t="s">
        <v>65</v>
      </c>
    </row>
    <row r="88" ht="14.25" customHeight="1">
      <c r="A88" s="22">
        <v>1.0</v>
      </c>
      <c r="B88" s="52" t="s">
        <v>66</v>
      </c>
    </row>
    <row r="89" ht="14.25" customHeight="1">
      <c r="A89" s="22"/>
    </row>
    <row r="90" ht="14.25" customHeight="1">
      <c r="A90" s="22"/>
      <c r="L90" s="4" t="s">
        <v>67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3"/>
    </row>
    <row r="91" ht="14.25" customHeight="1">
      <c r="A91" s="22"/>
    </row>
    <row r="92" ht="14.25" customHeight="1">
      <c r="P92" s="8">
        <v>43709.0</v>
      </c>
      <c r="Q92" s="2"/>
      <c r="R92" s="2"/>
      <c r="S92" s="3"/>
    </row>
    <row r="93" ht="14.25" customHeight="1"/>
    <row r="94" ht="14.25" customHeight="1">
      <c r="A94" s="9">
        <v>1.0</v>
      </c>
      <c r="B94" s="10">
        <v>43714.0</v>
      </c>
      <c r="C94" s="2"/>
      <c r="D94" s="2"/>
      <c r="E94" s="2"/>
      <c r="F94" s="3"/>
      <c r="H94" s="9">
        <v>2.0</v>
      </c>
      <c r="I94" s="10">
        <v>43721.0</v>
      </c>
      <c r="J94" s="2"/>
      <c r="K94" s="2"/>
      <c r="L94" s="2"/>
      <c r="M94" s="3"/>
      <c r="O94" s="9">
        <v>3.0</v>
      </c>
      <c r="P94" s="10">
        <v>43728.0</v>
      </c>
      <c r="Q94" s="2"/>
      <c r="R94" s="2"/>
      <c r="S94" s="2"/>
      <c r="T94" s="3"/>
      <c r="V94" s="9">
        <v>4.0</v>
      </c>
      <c r="W94" s="10">
        <v>43735.0</v>
      </c>
      <c r="X94" s="2"/>
      <c r="Y94" s="2"/>
      <c r="Z94" s="2"/>
      <c r="AA94" s="3"/>
      <c r="AC94" s="51" t="s">
        <v>68</v>
      </c>
      <c r="AD94" s="2"/>
      <c r="AE94" s="2"/>
      <c r="AF94" s="2"/>
      <c r="AG94" s="3"/>
    </row>
    <row r="95" ht="14.25" customHeight="1">
      <c r="A95" s="14">
        <v>8.0</v>
      </c>
      <c r="B95" s="2"/>
      <c r="C95" s="3"/>
      <c r="D95" s="15">
        <v>13.0</v>
      </c>
      <c r="E95" s="2"/>
      <c r="F95" s="3"/>
      <c r="H95" s="14">
        <v>10.0</v>
      </c>
      <c r="I95" s="2"/>
      <c r="J95" s="3"/>
      <c r="K95" s="15">
        <v>9.0</v>
      </c>
      <c r="L95" s="2"/>
      <c r="M95" s="3"/>
      <c r="O95" s="14">
        <v>10.0</v>
      </c>
      <c r="P95" s="2"/>
      <c r="Q95" s="3"/>
      <c r="R95" s="15">
        <v>8.0</v>
      </c>
      <c r="S95" s="2"/>
      <c r="T95" s="3"/>
      <c r="V95" s="14">
        <v>2.0</v>
      </c>
      <c r="W95" s="2"/>
      <c r="X95" s="3"/>
      <c r="Y95" s="15">
        <v>6.0</v>
      </c>
      <c r="Z95" s="2"/>
      <c r="AA95" s="3"/>
      <c r="AC95" s="59"/>
      <c r="AD95" s="59"/>
      <c r="AF95" s="59"/>
      <c r="AG95" s="59"/>
    </row>
    <row r="96" ht="12.0" customHeight="1">
      <c r="A96" s="60"/>
      <c r="B96" s="61" t="s">
        <v>69</v>
      </c>
      <c r="C96" s="62" t="s">
        <v>70</v>
      </c>
      <c r="D96" s="63"/>
      <c r="E96" s="64" t="s">
        <v>69</v>
      </c>
      <c r="F96" s="65" t="s">
        <v>70</v>
      </c>
      <c r="H96" s="66"/>
      <c r="I96" s="61" t="s">
        <v>69</v>
      </c>
      <c r="J96" s="62" t="s">
        <v>70</v>
      </c>
      <c r="K96" s="63"/>
      <c r="L96" s="64" t="s">
        <v>69</v>
      </c>
      <c r="M96" s="65" t="s">
        <v>70</v>
      </c>
      <c r="O96" s="66"/>
      <c r="P96" s="61" t="s">
        <v>69</v>
      </c>
      <c r="Q96" s="62" t="s">
        <v>70</v>
      </c>
      <c r="R96" s="63"/>
      <c r="S96" s="64" t="s">
        <v>69</v>
      </c>
      <c r="T96" s="65" t="s">
        <v>70</v>
      </c>
      <c r="V96" s="66"/>
      <c r="W96" s="61" t="s">
        <v>69</v>
      </c>
      <c r="X96" s="62" t="s">
        <v>70</v>
      </c>
      <c r="Y96" s="63"/>
      <c r="Z96" s="64" t="s">
        <v>69</v>
      </c>
      <c r="AA96" s="65" t="s">
        <v>70</v>
      </c>
      <c r="AC96" s="22"/>
    </row>
    <row r="97" ht="14.25" customHeight="1">
      <c r="A97" s="67" t="s">
        <v>4</v>
      </c>
      <c r="B97" s="68">
        <v>2.0</v>
      </c>
      <c r="C97" s="69">
        <v>2.0</v>
      </c>
      <c r="D97" s="19" t="s">
        <v>10</v>
      </c>
      <c r="E97" s="70">
        <v>2.0</v>
      </c>
      <c r="F97" s="71">
        <v>1.0</v>
      </c>
      <c r="H97" s="67" t="s">
        <v>10</v>
      </c>
      <c r="I97" s="68"/>
      <c r="J97" s="69">
        <v>1.0</v>
      </c>
      <c r="K97" s="19" t="s">
        <v>14</v>
      </c>
      <c r="L97" s="70">
        <v>2.0</v>
      </c>
      <c r="M97" s="71">
        <v>4.0</v>
      </c>
      <c r="O97" s="67" t="s">
        <v>17</v>
      </c>
      <c r="P97" s="68">
        <v>2.0</v>
      </c>
      <c r="Q97" s="69">
        <v>1.0</v>
      </c>
      <c r="R97" s="19" t="s">
        <v>13</v>
      </c>
      <c r="S97" s="21">
        <v>1.0</v>
      </c>
      <c r="T97" s="71">
        <v>2.0</v>
      </c>
      <c r="V97" s="67" t="s">
        <v>15</v>
      </c>
      <c r="W97" s="68"/>
      <c r="X97" s="69"/>
      <c r="Y97" s="19" t="s">
        <v>6</v>
      </c>
      <c r="Z97" s="21">
        <v>2.0</v>
      </c>
      <c r="AA97" s="71"/>
      <c r="AC97" s="22">
        <v>14.0</v>
      </c>
      <c r="AD97" s="52" t="s">
        <v>8</v>
      </c>
    </row>
    <row r="98" ht="14.25" customHeight="1">
      <c r="A98" s="72" t="s">
        <v>7</v>
      </c>
      <c r="B98" s="73">
        <v>2.0</v>
      </c>
      <c r="C98" s="69">
        <v>1.0</v>
      </c>
      <c r="D98" s="26" t="s">
        <v>18</v>
      </c>
      <c r="E98" s="74"/>
      <c r="F98" s="75"/>
      <c r="H98" s="72" t="s">
        <v>5</v>
      </c>
      <c r="I98" s="73">
        <v>5.0</v>
      </c>
      <c r="J98" s="69">
        <v>1.0</v>
      </c>
      <c r="K98" s="26" t="s">
        <v>26</v>
      </c>
      <c r="L98" s="74"/>
      <c r="M98" s="75">
        <v>1.0</v>
      </c>
      <c r="O98" s="72" t="s">
        <v>10</v>
      </c>
      <c r="P98" s="73">
        <v>1.0</v>
      </c>
      <c r="Q98" s="69">
        <v>2.0</v>
      </c>
      <c r="R98" s="26" t="s">
        <v>9</v>
      </c>
      <c r="S98" s="28"/>
      <c r="T98" s="75"/>
      <c r="V98" s="72" t="s">
        <v>17</v>
      </c>
      <c r="W98" s="73"/>
      <c r="X98" s="69"/>
      <c r="Y98" s="26" t="s">
        <v>5</v>
      </c>
      <c r="Z98" s="28">
        <v>1.0</v>
      </c>
      <c r="AA98" s="75">
        <v>3.0</v>
      </c>
      <c r="AC98" s="22">
        <v>9.0</v>
      </c>
      <c r="AD98" s="52" t="s">
        <v>61</v>
      </c>
    </row>
    <row r="99" ht="14.25" customHeight="1">
      <c r="A99" s="72" t="s">
        <v>6</v>
      </c>
      <c r="B99" s="73">
        <v>1.0</v>
      </c>
      <c r="C99" s="69">
        <v>1.0</v>
      </c>
      <c r="D99" s="26" t="s">
        <v>5</v>
      </c>
      <c r="E99" s="74">
        <v>4.0</v>
      </c>
      <c r="F99" s="75">
        <v>3.0</v>
      </c>
      <c r="H99" s="72" t="s">
        <v>15</v>
      </c>
      <c r="I99" s="73">
        <v>2.0</v>
      </c>
      <c r="J99" s="69"/>
      <c r="K99" s="26" t="s">
        <v>17</v>
      </c>
      <c r="L99" s="74">
        <v>1.0</v>
      </c>
      <c r="M99" s="75">
        <v>1.0</v>
      </c>
      <c r="O99" s="72" t="s">
        <v>20</v>
      </c>
      <c r="P99" s="73">
        <v>3.0</v>
      </c>
      <c r="Q99" s="69"/>
      <c r="R99" s="26" t="s">
        <v>4</v>
      </c>
      <c r="S99" s="28">
        <v>2.0</v>
      </c>
      <c r="T99" s="75"/>
      <c r="V99" s="72" t="s">
        <v>13</v>
      </c>
      <c r="W99" s="73">
        <v>2.0</v>
      </c>
      <c r="X99" s="69"/>
      <c r="Y99" s="26" t="s">
        <v>4</v>
      </c>
      <c r="Z99" s="28"/>
      <c r="AA99" s="75">
        <v>2.0</v>
      </c>
      <c r="AC99" s="22">
        <v>6.0</v>
      </c>
      <c r="AD99" s="52" t="s">
        <v>38</v>
      </c>
    </row>
    <row r="100" ht="14.25" customHeight="1">
      <c r="A100" s="72" t="s">
        <v>26</v>
      </c>
      <c r="B100" s="73">
        <v>2.0</v>
      </c>
      <c r="C100" s="76"/>
      <c r="D100" s="26" t="s">
        <v>17</v>
      </c>
      <c r="E100" s="74">
        <v>6.0</v>
      </c>
      <c r="F100" s="75">
        <v>2.0</v>
      </c>
      <c r="H100" s="72" t="s">
        <v>54</v>
      </c>
      <c r="I100" s="73">
        <v>1.0</v>
      </c>
      <c r="J100" s="69">
        <v>2.0</v>
      </c>
      <c r="K100" s="26" t="s">
        <v>24</v>
      </c>
      <c r="L100" s="74">
        <v>2.0</v>
      </c>
      <c r="M100" s="75"/>
      <c r="O100" s="72" t="s">
        <v>5</v>
      </c>
      <c r="P100" s="73">
        <v>4.0</v>
      </c>
      <c r="Q100" s="69">
        <v>1.0</v>
      </c>
      <c r="R100" s="26" t="s">
        <v>57</v>
      </c>
      <c r="S100" s="28">
        <v>3.0</v>
      </c>
      <c r="T100" s="75">
        <v>1.0</v>
      </c>
      <c r="V100" s="72" t="s">
        <v>10</v>
      </c>
      <c r="W100" s="73"/>
      <c r="X100" s="69"/>
      <c r="Y100" s="26" t="s">
        <v>14</v>
      </c>
      <c r="Z100" s="28">
        <v>3.0</v>
      </c>
      <c r="AA100" s="75">
        <v>1.0</v>
      </c>
      <c r="AC100" s="22">
        <v>5.0</v>
      </c>
      <c r="AD100" s="52" t="s">
        <v>30</v>
      </c>
    </row>
    <row r="101" ht="14.25" customHeight="1">
      <c r="A101" s="77" t="s">
        <v>15</v>
      </c>
      <c r="B101" s="78">
        <v>1.0</v>
      </c>
      <c r="C101" s="79"/>
      <c r="D101" s="32" t="s">
        <v>24</v>
      </c>
      <c r="E101" s="80">
        <v>1.0</v>
      </c>
      <c r="F101" s="81">
        <v>2.0</v>
      </c>
      <c r="H101" s="77" t="s">
        <v>4</v>
      </c>
      <c r="I101" s="78">
        <v>1.0</v>
      </c>
      <c r="J101" s="82">
        <v>1.0</v>
      </c>
      <c r="K101" s="32" t="s">
        <v>20</v>
      </c>
      <c r="L101" s="80">
        <v>3.0</v>
      </c>
      <c r="M101" s="81">
        <v>2.0</v>
      </c>
      <c r="O101" s="77" t="s">
        <v>7</v>
      </c>
      <c r="P101" s="78"/>
      <c r="Q101" s="82">
        <v>2.0</v>
      </c>
      <c r="R101" s="32" t="s">
        <v>18</v>
      </c>
      <c r="S101" s="34">
        <v>2.0</v>
      </c>
      <c r="T101" s="81"/>
      <c r="V101" s="77" t="s">
        <v>18</v>
      </c>
      <c r="W101" s="78"/>
      <c r="X101" s="82"/>
      <c r="Y101" s="32" t="s">
        <v>7</v>
      </c>
      <c r="Z101" s="34"/>
      <c r="AA101" s="81"/>
      <c r="AC101" s="22">
        <v>3.0</v>
      </c>
      <c r="AD101" s="52" t="s">
        <v>71</v>
      </c>
    </row>
    <row r="102" ht="14.25" customHeight="1">
      <c r="A102" s="83" t="s">
        <v>72</v>
      </c>
      <c r="B102" s="84" t="s">
        <v>61</v>
      </c>
      <c r="C102" s="3"/>
      <c r="H102" s="85" t="s">
        <v>73</v>
      </c>
      <c r="I102" s="78">
        <v>1.0</v>
      </c>
      <c r="J102" s="86"/>
      <c r="K102" s="87" t="s">
        <v>74</v>
      </c>
      <c r="L102" s="88">
        <v>1.0</v>
      </c>
      <c r="M102" s="89"/>
      <c r="O102" s="83" t="s">
        <v>72</v>
      </c>
      <c r="P102" s="84" t="s">
        <v>8</v>
      </c>
      <c r="Q102" s="3"/>
      <c r="V102" s="83" t="s">
        <v>72</v>
      </c>
      <c r="W102" s="84" t="s">
        <v>75</v>
      </c>
      <c r="X102" s="3"/>
      <c r="AC102" s="22"/>
      <c r="AD102" s="52" t="s">
        <v>76</v>
      </c>
    </row>
    <row r="103" ht="14.25" customHeight="1">
      <c r="A103" s="83" t="s">
        <v>77</v>
      </c>
      <c r="B103" s="84" t="s">
        <v>49</v>
      </c>
      <c r="C103" s="3"/>
      <c r="D103" s="48"/>
      <c r="E103" s="48"/>
      <c r="F103" s="48"/>
      <c r="H103" s="83" t="s">
        <v>72</v>
      </c>
      <c r="I103" s="84" t="s">
        <v>8</v>
      </c>
      <c r="J103" s="3"/>
      <c r="O103" s="83" t="s">
        <v>77</v>
      </c>
      <c r="P103" s="84" t="s">
        <v>8</v>
      </c>
      <c r="Q103" s="3"/>
      <c r="V103" s="83" t="s">
        <v>77</v>
      </c>
      <c r="W103" s="84" t="s">
        <v>75</v>
      </c>
      <c r="X103" s="3"/>
      <c r="AC103" s="22">
        <v>2.0</v>
      </c>
      <c r="AD103" s="52" t="s">
        <v>78</v>
      </c>
    </row>
    <row r="104" ht="14.25" customHeight="1">
      <c r="H104" s="83" t="s">
        <v>77</v>
      </c>
      <c r="I104" s="84" t="s">
        <v>36</v>
      </c>
      <c r="J104" s="3"/>
      <c r="AC104" s="22">
        <v>1.0</v>
      </c>
      <c r="AD104" s="52" t="s">
        <v>79</v>
      </c>
    </row>
    <row r="105" ht="14.25" customHeight="1">
      <c r="H105" s="90"/>
      <c r="I105" s="90"/>
      <c r="J105" s="90"/>
      <c r="K105" s="91"/>
      <c r="L105" s="91"/>
      <c r="AC105" s="22">
        <v>1.0</v>
      </c>
      <c r="AD105" s="52" t="s">
        <v>80</v>
      </c>
    </row>
    <row r="106" ht="14.25" customHeight="1">
      <c r="H106" s="92" t="s">
        <v>3</v>
      </c>
      <c r="I106" s="93"/>
      <c r="J106" s="30"/>
      <c r="K106" s="50">
        <f>A95+D95+H95+K95+O95+R95+V95+Y95+AC95+AF95</f>
        <v>66</v>
      </c>
      <c r="L106" s="30"/>
      <c r="AC106" s="22"/>
    </row>
    <row r="107" ht="14.25" customHeight="1">
      <c r="V107" s="48"/>
      <c r="AC107" s="22"/>
    </row>
    <row r="108" ht="14.25" customHeight="1">
      <c r="AC108" s="22"/>
    </row>
    <row r="109" ht="14.25" customHeight="1">
      <c r="P109" s="8">
        <v>43739.0</v>
      </c>
      <c r="Q109" s="2"/>
      <c r="R109" s="2"/>
      <c r="S109" s="3"/>
    </row>
    <row r="110" ht="14.25" customHeight="1"/>
    <row r="111" ht="14.25" customHeight="1">
      <c r="A111" s="9">
        <v>5.0</v>
      </c>
      <c r="B111" s="10">
        <v>43742.0</v>
      </c>
      <c r="C111" s="2"/>
      <c r="D111" s="2"/>
      <c r="E111" s="2"/>
      <c r="F111" s="3"/>
      <c r="H111" s="9">
        <v>6.0</v>
      </c>
      <c r="I111" s="10">
        <v>43749.0</v>
      </c>
      <c r="J111" s="2"/>
      <c r="K111" s="2"/>
      <c r="L111" s="2"/>
      <c r="M111" s="3"/>
      <c r="O111" s="9">
        <v>7.0</v>
      </c>
      <c r="P111" s="10">
        <v>43756.0</v>
      </c>
      <c r="Q111" s="2"/>
      <c r="R111" s="2"/>
      <c r="S111" s="2"/>
      <c r="T111" s="3"/>
      <c r="V111" s="9">
        <v>8.0</v>
      </c>
      <c r="W111" s="10">
        <v>43763.0</v>
      </c>
      <c r="X111" s="2"/>
      <c r="Y111" s="2"/>
      <c r="Z111" s="2"/>
      <c r="AA111" s="3"/>
      <c r="AC111" s="51" t="s">
        <v>81</v>
      </c>
      <c r="AD111" s="2"/>
      <c r="AE111" s="2"/>
      <c r="AF111" s="2"/>
      <c r="AG111" s="3"/>
    </row>
    <row r="112" ht="14.25" customHeight="1">
      <c r="A112" s="14">
        <v>5.0</v>
      </c>
      <c r="B112" s="2"/>
      <c r="C112" s="3"/>
      <c r="D112" s="39">
        <v>9.0</v>
      </c>
      <c r="E112" s="2"/>
      <c r="F112" s="3"/>
      <c r="H112" s="14">
        <v>7.0</v>
      </c>
      <c r="I112" s="2"/>
      <c r="J112" s="3"/>
      <c r="K112" s="39">
        <v>9.0</v>
      </c>
      <c r="L112" s="2"/>
      <c r="M112" s="3"/>
      <c r="O112" s="14">
        <v>8.0</v>
      </c>
      <c r="P112" s="2"/>
      <c r="Q112" s="3"/>
      <c r="R112" s="39">
        <v>5.0</v>
      </c>
      <c r="S112" s="2"/>
      <c r="T112" s="3"/>
      <c r="V112" s="14">
        <v>8.0</v>
      </c>
      <c r="W112" s="2"/>
      <c r="X112" s="3"/>
      <c r="Y112" s="39">
        <v>12.0</v>
      </c>
      <c r="Z112" s="2"/>
      <c r="AA112" s="3"/>
      <c r="AC112" s="59"/>
      <c r="AD112" s="59"/>
      <c r="AF112" s="59"/>
      <c r="AG112" s="59"/>
    </row>
    <row r="113" ht="12.0" customHeight="1">
      <c r="A113" s="60"/>
      <c r="B113" s="61" t="s">
        <v>69</v>
      </c>
      <c r="C113" s="62" t="s">
        <v>70</v>
      </c>
      <c r="D113" s="94"/>
      <c r="E113" s="95" t="s">
        <v>69</v>
      </c>
      <c r="F113" s="96" t="s">
        <v>70</v>
      </c>
      <c r="H113" s="66"/>
      <c r="I113" s="61" t="s">
        <v>69</v>
      </c>
      <c r="J113" s="62" t="s">
        <v>70</v>
      </c>
      <c r="K113" s="94"/>
      <c r="L113" s="95" t="s">
        <v>69</v>
      </c>
      <c r="M113" s="96" t="s">
        <v>70</v>
      </c>
      <c r="O113" s="66"/>
      <c r="P113" s="61" t="s">
        <v>69</v>
      </c>
      <c r="Q113" s="62" t="s">
        <v>70</v>
      </c>
      <c r="R113" s="94"/>
      <c r="S113" s="95" t="s">
        <v>69</v>
      </c>
      <c r="T113" s="96" t="s">
        <v>70</v>
      </c>
      <c r="V113" s="66"/>
      <c r="W113" s="61" t="s">
        <v>69</v>
      </c>
      <c r="X113" s="62" t="s">
        <v>70</v>
      </c>
      <c r="Y113" s="94"/>
      <c r="Z113" s="95" t="s">
        <v>69</v>
      </c>
      <c r="AA113" s="96" t="s">
        <v>70</v>
      </c>
      <c r="AC113" s="22">
        <v>11.0</v>
      </c>
      <c r="AD113" s="52" t="s">
        <v>33</v>
      </c>
    </row>
    <row r="114" ht="14.25" customHeight="1">
      <c r="A114" s="67" t="s">
        <v>14</v>
      </c>
      <c r="B114" s="68">
        <v>1.0</v>
      </c>
      <c r="C114" s="69">
        <v>1.0</v>
      </c>
      <c r="D114" s="97" t="s">
        <v>10</v>
      </c>
      <c r="E114" s="98">
        <v>3.0</v>
      </c>
      <c r="F114" s="99">
        <v>1.0</v>
      </c>
      <c r="H114" s="67" t="s">
        <v>14</v>
      </c>
      <c r="I114" s="68"/>
      <c r="J114" s="69">
        <v>4.0</v>
      </c>
      <c r="K114" s="97" t="s">
        <v>7</v>
      </c>
      <c r="L114" s="98">
        <v>1.0</v>
      </c>
      <c r="M114" s="99">
        <v>1.0</v>
      </c>
      <c r="O114" s="67" t="s">
        <v>6</v>
      </c>
      <c r="P114" s="68"/>
      <c r="Q114" s="69"/>
      <c r="R114" s="97" t="s">
        <v>4</v>
      </c>
      <c r="S114" s="98">
        <v>1.0</v>
      </c>
      <c r="T114" s="99"/>
      <c r="V114" s="67" t="s">
        <v>4</v>
      </c>
      <c r="W114" s="68">
        <v>1.0</v>
      </c>
      <c r="X114" s="69"/>
      <c r="Y114" s="97" t="s">
        <v>6</v>
      </c>
      <c r="Z114" s="98"/>
      <c r="AA114" s="99">
        <v>1.0</v>
      </c>
      <c r="AC114" s="22">
        <v>10.0</v>
      </c>
      <c r="AD114" s="52" t="s">
        <v>82</v>
      </c>
    </row>
    <row r="115" ht="14.25" customHeight="1">
      <c r="A115" s="72" t="s">
        <v>11</v>
      </c>
      <c r="B115" s="73">
        <v>2.0</v>
      </c>
      <c r="C115" s="69"/>
      <c r="D115" s="100" t="s">
        <v>15</v>
      </c>
      <c r="E115" s="101">
        <v>1.0</v>
      </c>
      <c r="F115" s="102">
        <v>1.0</v>
      </c>
      <c r="H115" s="72" t="s">
        <v>13</v>
      </c>
      <c r="I115" s="73">
        <v>3.0</v>
      </c>
      <c r="J115" s="69">
        <v>1.0</v>
      </c>
      <c r="K115" s="100" t="s">
        <v>26</v>
      </c>
      <c r="L115" s="101">
        <v>1.0</v>
      </c>
      <c r="M115" s="102">
        <v>1.0</v>
      </c>
      <c r="O115" s="72" t="s">
        <v>10</v>
      </c>
      <c r="P115" s="73">
        <v>3.0</v>
      </c>
      <c r="Q115" s="69">
        <v>2.0</v>
      </c>
      <c r="R115" s="100" t="s">
        <v>14</v>
      </c>
      <c r="S115" s="101">
        <v>2.0</v>
      </c>
      <c r="T115" s="102">
        <v>3.0</v>
      </c>
      <c r="V115" s="72" t="s">
        <v>14</v>
      </c>
      <c r="W115" s="73">
        <v>4.0</v>
      </c>
      <c r="X115" s="69">
        <v>1.0</v>
      </c>
      <c r="Y115" s="100" t="s">
        <v>10</v>
      </c>
      <c r="Z115" s="101">
        <v>4.0</v>
      </c>
      <c r="AA115" s="102">
        <v>2.0</v>
      </c>
      <c r="AC115" s="22">
        <v>7.0</v>
      </c>
      <c r="AD115" s="52" t="s">
        <v>36</v>
      </c>
    </row>
    <row r="116" ht="14.25" customHeight="1">
      <c r="A116" s="72" t="s">
        <v>9</v>
      </c>
      <c r="B116" s="73">
        <v>1.0</v>
      </c>
      <c r="C116" s="69"/>
      <c r="D116" s="100" t="s">
        <v>5</v>
      </c>
      <c r="E116" s="101"/>
      <c r="F116" s="102">
        <v>4.0</v>
      </c>
      <c r="H116" s="72" t="s">
        <v>20</v>
      </c>
      <c r="I116" s="73">
        <v>1.0</v>
      </c>
      <c r="J116" s="69"/>
      <c r="K116" s="100" t="s">
        <v>57</v>
      </c>
      <c r="L116" s="101">
        <v>5.0</v>
      </c>
      <c r="M116" s="102"/>
      <c r="O116" s="72" t="s">
        <v>13</v>
      </c>
      <c r="P116" s="73">
        <v>2.0</v>
      </c>
      <c r="Q116" s="69">
        <v>1.0</v>
      </c>
      <c r="R116" s="100" t="s">
        <v>17</v>
      </c>
      <c r="S116" s="101">
        <v>2.0</v>
      </c>
      <c r="T116" s="102">
        <v>1.0</v>
      </c>
      <c r="V116" s="72" t="s">
        <v>17</v>
      </c>
      <c r="W116" s="73">
        <v>2.0</v>
      </c>
      <c r="X116" s="69"/>
      <c r="Y116" s="100" t="s">
        <v>13</v>
      </c>
      <c r="Z116" s="101">
        <v>4.0</v>
      </c>
      <c r="AA116" s="102">
        <v>1.0</v>
      </c>
      <c r="AC116" s="22">
        <v>6.0</v>
      </c>
      <c r="AD116" s="52" t="s">
        <v>83</v>
      </c>
    </row>
    <row r="117" ht="14.25" customHeight="1">
      <c r="A117" s="72" t="s">
        <v>4</v>
      </c>
      <c r="B117" s="73">
        <v>1.0</v>
      </c>
      <c r="C117" s="76"/>
      <c r="D117" s="100" t="s">
        <v>13</v>
      </c>
      <c r="E117" s="101">
        <v>2.0</v>
      </c>
      <c r="F117" s="102"/>
      <c r="H117" s="72" t="s">
        <v>6</v>
      </c>
      <c r="I117" s="73"/>
      <c r="J117" s="69"/>
      <c r="K117" s="100" t="s">
        <v>10</v>
      </c>
      <c r="L117" s="101"/>
      <c r="M117" s="102">
        <v>2.0</v>
      </c>
      <c r="O117" s="72" t="s">
        <v>5</v>
      </c>
      <c r="P117" s="73">
        <v>2.0</v>
      </c>
      <c r="Q117" s="69">
        <v>1.0</v>
      </c>
      <c r="R117" s="100" t="s">
        <v>15</v>
      </c>
      <c r="S117" s="101"/>
      <c r="T117" s="102"/>
      <c r="V117" s="72" t="s">
        <v>15</v>
      </c>
      <c r="W117" s="73"/>
      <c r="X117" s="69"/>
      <c r="Y117" s="100" t="s">
        <v>5</v>
      </c>
      <c r="Z117" s="101">
        <v>2.0</v>
      </c>
      <c r="AA117" s="102">
        <v>3.0</v>
      </c>
      <c r="AC117" s="22">
        <v>5.0</v>
      </c>
      <c r="AD117" s="52" t="s">
        <v>84</v>
      </c>
    </row>
    <row r="118" ht="14.25" customHeight="1">
      <c r="A118" s="77" t="s">
        <v>6</v>
      </c>
      <c r="B118" s="78"/>
      <c r="C118" s="79"/>
      <c r="D118" s="103" t="s">
        <v>7</v>
      </c>
      <c r="E118" s="104">
        <v>3.0</v>
      </c>
      <c r="F118" s="105">
        <v>1.0</v>
      </c>
      <c r="H118" s="77" t="s">
        <v>9</v>
      </c>
      <c r="I118" s="78">
        <v>3.0</v>
      </c>
      <c r="J118" s="82"/>
      <c r="K118" s="103" t="s">
        <v>5</v>
      </c>
      <c r="L118" s="104">
        <v>2.0</v>
      </c>
      <c r="M118" s="105">
        <v>1.0</v>
      </c>
      <c r="O118" s="77" t="s">
        <v>7</v>
      </c>
      <c r="P118" s="78">
        <v>1.0</v>
      </c>
      <c r="Q118" s="82">
        <v>1.0</v>
      </c>
      <c r="R118" s="103" t="s">
        <v>18</v>
      </c>
      <c r="S118" s="104"/>
      <c r="T118" s="105"/>
      <c r="V118" s="77" t="s">
        <v>18</v>
      </c>
      <c r="W118" s="78"/>
      <c r="X118" s="82"/>
      <c r="Y118" s="103" t="s">
        <v>7</v>
      </c>
      <c r="Z118" s="104">
        <v>1.0</v>
      </c>
      <c r="AA118" s="105">
        <v>1.0</v>
      </c>
      <c r="AC118" s="22">
        <v>4.0</v>
      </c>
      <c r="AD118" s="52" t="s">
        <v>85</v>
      </c>
    </row>
    <row r="119" ht="14.25" customHeight="1">
      <c r="A119" s="83" t="s">
        <v>72</v>
      </c>
      <c r="B119" s="84" t="s">
        <v>29</v>
      </c>
      <c r="C119" s="3"/>
      <c r="H119" s="83" t="s">
        <v>72</v>
      </c>
      <c r="I119" s="84" t="s">
        <v>84</v>
      </c>
      <c r="J119" s="3"/>
      <c r="O119" s="83" t="s">
        <v>72</v>
      </c>
      <c r="P119" s="84" t="s">
        <v>86</v>
      </c>
      <c r="Q119" s="3"/>
      <c r="V119" s="77" t="s">
        <v>87</v>
      </c>
      <c r="W119" s="106">
        <v>1.0</v>
      </c>
      <c r="X119" s="107"/>
      <c r="Y119" s="108" t="s">
        <v>74</v>
      </c>
      <c r="Z119" s="109">
        <v>1.0</v>
      </c>
      <c r="AA119" s="110"/>
      <c r="AC119" s="22">
        <v>3.0</v>
      </c>
      <c r="AD119" s="52" t="s">
        <v>49</v>
      </c>
    </row>
    <row r="120" ht="14.25" customHeight="1">
      <c r="A120" s="83" t="s">
        <v>77</v>
      </c>
      <c r="B120" s="84" t="s">
        <v>31</v>
      </c>
      <c r="C120" s="3"/>
      <c r="D120" s="48"/>
      <c r="E120" s="48"/>
      <c r="F120" s="48"/>
      <c r="H120" s="83" t="s">
        <v>77</v>
      </c>
      <c r="I120" s="84" t="s">
        <v>29</v>
      </c>
      <c r="J120" s="3"/>
      <c r="O120" s="83" t="s">
        <v>77</v>
      </c>
      <c r="P120" s="84" t="s">
        <v>8</v>
      </c>
      <c r="Q120" s="3"/>
      <c r="V120" s="83" t="s">
        <v>72</v>
      </c>
      <c r="W120" s="84" t="s">
        <v>86</v>
      </c>
      <c r="X120" s="3"/>
      <c r="AC120" s="22">
        <v>2.0</v>
      </c>
      <c r="AD120" s="52" t="s">
        <v>41</v>
      </c>
    </row>
    <row r="121" ht="14.25" customHeight="1">
      <c r="H121" s="90"/>
      <c r="I121" s="90"/>
      <c r="J121" s="90"/>
      <c r="K121" s="91"/>
      <c r="L121" s="91"/>
      <c r="V121" s="83" t="s">
        <v>77</v>
      </c>
      <c r="W121" s="84" t="s">
        <v>33</v>
      </c>
      <c r="X121" s="3"/>
      <c r="AC121" s="22">
        <v>1.0</v>
      </c>
      <c r="AD121" s="52" t="s">
        <v>88</v>
      </c>
    </row>
    <row r="122" ht="14.25" customHeight="1">
      <c r="H122" s="92" t="s">
        <v>3</v>
      </c>
      <c r="I122" s="93"/>
      <c r="J122" s="30"/>
      <c r="K122" s="50">
        <f>A112+D112+H112+K112+O112+R112+V112+Y112+AC112+AF112</f>
        <v>63</v>
      </c>
      <c r="L122" s="30"/>
      <c r="AC122" s="22">
        <v>1.0</v>
      </c>
      <c r="AD122" s="52" t="s">
        <v>89</v>
      </c>
    </row>
    <row r="123" ht="14.25" customHeight="1">
      <c r="H123" s="22"/>
      <c r="I123" s="22"/>
      <c r="J123" s="22"/>
      <c r="K123" s="57"/>
      <c r="L123" s="57"/>
      <c r="AC123" s="22"/>
    </row>
    <row r="124" ht="14.25" customHeight="1">
      <c r="AC124" s="22"/>
    </row>
    <row r="125" ht="14.25" customHeight="1">
      <c r="AC125" s="22"/>
    </row>
    <row r="126" ht="14.25" customHeight="1">
      <c r="A126" s="36"/>
      <c r="B126" s="37"/>
      <c r="G126" s="38"/>
      <c r="H126" s="37"/>
      <c r="I126" s="37"/>
      <c r="N126" s="38"/>
      <c r="O126" s="37"/>
      <c r="P126" s="8">
        <v>43770.0</v>
      </c>
      <c r="Q126" s="2"/>
      <c r="R126" s="2"/>
      <c r="S126" s="3"/>
      <c r="U126" s="38"/>
      <c r="V126" s="37"/>
      <c r="W126" s="37"/>
      <c r="AB126" s="38"/>
      <c r="AC126" s="37"/>
      <c r="AD126" s="37"/>
    </row>
    <row r="127" ht="14.25" customHeight="1"/>
    <row r="128" ht="14.25" customHeight="1">
      <c r="A128" s="9">
        <v>9.0</v>
      </c>
      <c r="B128" s="10">
        <v>43770.0</v>
      </c>
      <c r="C128" s="2"/>
      <c r="D128" s="2"/>
      <c r="E128" s="2"/>
      <c r="F128" s="3"/>
      <c r="H128" s="9">
        <v>10.0</v>
      </c>
      <c r="I128" s="10" t="s">
        <v>90</v>
      </c>
      <c r="J128" s="2"/>
      <c r="K128" s="2"/>
      <c r="L128" s="2"/>
      <c r="M128" s="3"/>
      <c r="O128" s="9">
        <v>11.0</v>
      </c>
      <c r="P128" s="10">
        <v>43784.0</v>
      </c>
      <c r="Q128" s="2"/>
      <c r="R128" s="2"/>
      <c r="S128" s="2"/>
      <c r="T128" s="3"/>
      <c r="V128" s="9">
        <v>12.0</v>
      </c>
      <c r="W128" s="10">
        <v>43791.0</v>
      </c>
      <c r="X128" s="2"/>
      <c r="Y128" s="2"/>
      <c r="Z128" s="2"/>
      <c r="AA128" s="3"/>
      <c r="AC128" s="9">
        <v>13.0</v>
      </c>
      <c r="AD128" s="58">
        <v>43798.0</v>
      </c>
      <c r="AE128" s="2"/>
      <c r="AF128" s="2"/>
      <c r="AG128" s="2"/>
      <c r="AH128" s="3"/>
    </row>
    <row r="129" ht="14.25" customHeight="1">
      <c r="A129" s="14">
        <v>3.0</v>
      </c>
      <c r="B129" s="2"/>
      <c r="C129" s="3"/>
      <c r="D129" s="39">
        <v>6.0</v>
      </c>
      <c r="E129" s="2"/>
      <c r="F129" s="3"/>
      <c r="H129" s="14">
        <v>4.0</v>
      </c>
      <c r="I129" s="2"/>
      <c r="J129" s="3"/>
      <c r="K129" s="39">
        <v>10.0</v>
      </c>
      <c r="L129" s="2"/>
      <c r="M129" s="3"/>
      <c r="O129" s="14">
        <v>11.0</v>
      </c>
      <c r="P129" s="2"/>
      <c r="Q129" s="3"/>
      <c r="R129" s="39">
        <v>8.0</v>
      </c>
      <c r="S129" s="2"/>
      <c r="T129" s="3"/>
      <c r="V129" s="14">
        <v>3.0</v>
      </c>
      <c r="W129" s="2"/>
      <c r="X129" s="3"/>
      <c r="Y129" s="39">
        <v>9.0</v>
      </c>
      <c r="Z129" s="2"/>
      <c r="AA129" s="3"/>
      <c r="AC129" s="14">
        <v>10.0</v>
      </c>
      <c r="AD129" s="2"/>
      <c r="AE129" s="3"/>
      <c r="AF129" s="39">
        <v>6.0</v>
      </c>
      <c r="AG129" s="2"/>
      <c r="AH129" s="3"/>
    </row>
    <row r="130" ht="12.0" customHeight="1">
      <c r="A130" s="66"/>
      <c r="B130" s="61" t="s">
        <v>69</v>
      </c>
      <c r="C130" s="62" t="s">
        <v>70</v>
      </c>
      <c r="D130" s="94"/>
      <c r="E130" s="95" t="s">
        <v>69</v>
      </c>
      <c r="F130" s="96" t="s">
        <v>70</v>
      </c>
      <c r="H130" s="66"/>
      <c r="I130" s="61" t="s">
        <v>69</v>
      </c>
      <c r="J130" s="62" t="s">
        <v>70</v>
      </c>
      <c r="K130" s="94"/>
      <c r="L130" s="95" t="s">
        <v>69</v>
      </c>
      <c r="M130" s="96" t="s">
        <v>70</v>
      </c>
      <c r="O130" s="66"/>
      <c r="P130" s="61" t="s">
        <v>69</v>
      </c>
      <c r="Q130" s="62" t="s">
        <v>70</v>
      </c>
      <c r="R130" s="94"/>
      <c r="S130" s="95" t="s">
        <v>69</v>
      </c>
      <c r="T130" s="96" t="s">
        <v>70</v>
      </c>
      <c r="V130" s="66"/>
      <c r="W130" s="61" t="s">
        <v>69</v>
      </c>
      <c r="X130" s="62" t="s">
        <v>70</v>
      </c>
      <c r="Y130" s="94"/>
      <c r="Z130" s="95" t="s">
        <v>69</v>
      </c>
      <c r="AA130" s="96" t="s">
        <v>70</v>
      </c>
      <c r="AC130" s="66"/>
      <c r="AD130" s="61" t="s">
        <v>69</v>
      </c>
      <c r="AE130" s="62" t="s">
        <v>70</v>
      </c>
      <c r="AF130" s="94"/>
      <c r="AG130" s="95" t="s">
        <v>69</v>
      </c>
      <c r="AH130" s="96" t="s">
        <v>70</v>
      </c>
    </row>
    <row r="131" ht="14.25" customHeight="1">
      <c r="A131" s="67" t="s">
        <v>5</v>
      </c>
      <c r="B131" s="68">
        <v>1.0</v>
      </c>
      <c r="C131" s="69">
        <v>2.0</v>
      </c>
      <c r="D131" s="97" t="s">
        <v>17</v>
      </c>
      <c r="E131" s="98">
        <v>1.0</v>
      </c>
      <c r="F131" s="98"/>
      <c r="H131" s="67" t="s">
        <v>4</v>
      </c>
      <c r="I131" s="68">
        <v>2.0</v>
      </c>
      <c r="J131" s="18"/>
      <c r="K131" s="97" t="s">
        <v>7</v>
      </c>
      <c r="L131" s="98">
        <v>1.0</v>
      </c>
      <c r="M131" s="99">
        <v>1.0</v>
      </c>
      <c r="O131" s="67" t="s">
        <v>5</v>
      </c>
      <c r="P131" s="111">
        <v>3.0</v>
      </c>
      <c r="Q131" s="112"/>
      <c r="R131" s="97" t="s">
        <v>18</v>
      </c>
      <c r="S131" s="98"/>
      <c r="T131" s="99">
        <v>2.0</v>
      </c>
      <c r="V131" s="67" t="s">
        <v>13</v>
      </c>
      <c r="W131" s="111"/>
      <c r="X131" s="69">
        <v>1.0</v>
      </c>
      <c r="Y131" s="97" t="s">
        <v>10</v>
      </c>
      <c r="Z131" s="98">
        <v>2.0</v>
      </c>
      <c r="AA131" s="99">
        <v>1.0</v>
      </c>
      <c r="AC131" s="67" t="s">
        <v>4</v>
      </c>
      <c r="AD131" s="111">
        <v>2.0</v>
      </c>
      <c r="AE131" s="69">
        <v>1.0</v>
      </c>
      <c r="AF131" s="97" t="s">
        <v>57</v>
      </c>
      <c r="AG131" s="98">
        <v>1.0</v>
      </c>
      <c r="AH131" s="113"/>
    </row>
    <row r="132" ht="14.25" customHeight="1">
      <c r="A132" s="72" t="s">
        <v>10</v>
      </c>
      <c r="B132" s="73">
        <v>1.0</v>
      </c>
      <c r="C132" s="69"/>
      <c r="D132" s="101" t="s">
        <v>6</v>
      </c>
      <c r="E132" s="101"/>
      <c r="F132" s="102">
        <v>1.0</v>
      </c>
      <c r="H132" s="72" t="s">
        <v>26</v>
      </c>
      <c r="I132" s="73">
        <v>1.0</v>
      </c>
      <c r="J132" s="69">
        <v>1.0</v>
      </c>
      <c r="K132" s="100" t="s">
        <v>10</v>
      </c>
      <c r="L132" s="101">
        <v>2.0</v>
      </c>
      <c r="M132" s="102">
        <v>2.0</v>
      </c>
      <c r="O132" s="72" t="s">
        <v>10</v>
      </c>
      <c r="P132" s="114">
        <v>1.0</v>
      </c>
      <c r="Q132" s="69">
        <v>4.0</v>
      </c>
      <c r="R132" s="100" t="s">
        <v>7</v>
      </c>
      <c r="S132" s="101"/>
      <c r="T132" s="102">
        <v>3.0</v>
      </c>
      <c r="V132" s="72" t="s">
        <v>57</v>
      </c>
      <c r="W132" s="114"/>
      <c r="X132" s="76"/>
      <c r="Y132" s="100" t="s">
        <v>7</v>
      </c>
      <c r="Z132" s="101"/>
      <c r="AA132" s="102"/>
      <c r="AC132" s="72" t="s">
        <v>15</v>
      </c>
      <c r="AD132" s="114">
        <v>1.0</v>
      </c>
      <c r="AE132" s="69"/>
      <c r="AF132" s="100" t="s">
        <v>18</v>
      </c>
      <c r="AG132" s="101"/>
      <c r="AH132" s="115"/>
    </row>
    <row r="133" ht="14.25" customHeight="1">
      <c r="A133" s="72" t="s">
        <v>15</v>
      </c>
      <c r="B133" s="73">
        <v>1.0</v>
      </c>
      <c r="C133" s="69"/>
      <c r="D133" s="100" t="s">
        <v>13</v>
      </c>
      <c r="E133" s="101">
        <v>1.0</v>
      </c>
      <c r="F133" s="102"/>
      <c r="H133" s="72" t="s">
        <v>20</v>
      </c>
      <c r="I133" s="116"/>
      <c r="J133" s="69"/>
      <c r="K133" s="100" t="s">
        <v>18</v>
      </c>
      <c r="L133" s="101">
        <v>2.0</v>
      </c>
      <c r="M133" s="102"/>
      <c r="O133" s="72" t="s">
        <v>15</v>
      </c>
      <c r="P133" s="114"/>
      <c r="Q133" s="69"/>
      <c r="R133" s="100" t="s">
        <v>26</v>
      </c>
      <c r="S133" s="101">
        <v>2.0</v>
      </c>
      <c r="T133" s="117"/>
      <c r="V133" s="72" t="s">
        <v>20</v>
      </c>
      <c r="W133" s="114">
        <v>3.0</v>
      </c>
      <c r="X133" s="76"/>
      <c r="Y133" s="100" t="s">
        <v>5</v>
      </c>
      <c r="Z133" s="101">
        <v>3.0</v>
      </c>
      <c r="AA133" s="102">
        <v>2.0</v>
      </c>
      <c r="AC133" s="72" t="s">
        <v>14</v>
      </c>
      <c r="AD133" s="114">
        <v>2.0</v>
      </c>
      <c r="AE133" s="69">
        <v>1.0</v>
      </c>
      <c r="AF133" s="100" t="s">
        <v>13</v>
      </c>
      <c r="AG133" s="101">
        <v>1.0</v>
      </c>
      <c r="AH133" s="115"/>
    </row>
    <row r="134" ht="14.25" customHeight="1">
      <c r="A134" s="72" t="s">
        <v>18</v>
      </c>
      <c r="B134" s="73"/>
      <c r="C134" s="69">
        <v>1.0</v>
      </c>
      <c r="D134" s="100" t="s">
        <v>20</v>
      </c>
      <c r="E134" s="101">
        <v>1.0</v>
      </c>
      <c r="F134" s="102"/>
      <c r="H134" s="72" t="s">
        <v>6</v>
      </c>
      <c r="I134" s="116"/>
      <c r="J134" s="69">
        <v>1.0</v>
      </c>
      <c r="K134" s="100" t="s">
        <v>5</v>
      </c>
      <c r="L134" s="101">
        <v>1.0</v>
      </c>
      <c r="M134" s="102">
        <v>3.0</v>
      </c>
      <c r="O134" s="72" t="s">
        <v>13</v>
      </c>
      <c r="P134" s="114">
        <v>6.0</v>
      </c>
      <c r="Q134" s="69">
        <v>1.0</v>
      </c>
      <c r="R134" s="100" t="s">
        <v>4</v>
      </c>
      <c r="S134" s="101">
        <v>1.0</v>
      </c>
      <c r="T134" s="117"/>
      <c r="V134" s="72" t="s">
        <v>11</v>
      </c>
      <c r="W134" s="114"/>
      <c r="X134" s="69">
        <v>2.0</v>
      </c>
      <c r="Y134" s="100" t="s">
        <v>17</v>
      </c>
      <c r="Z134" s="101">
        <v>2.0</v>
      </c>
      <c r="AA134" s="102"/>
      <c r="AC134" s="72" t="s">
        <v>7</v>
      </c>
      <c r="AD134" s="114">
        <v>3.0</v>
      </c>
      <c r="AE134" s="69">
        <v>3.0</v>
      </c>
      <c r="AF134" s="100" t="s">
        <v>17</v>
      </c>
      <c r="AG134" s="101">
        <v>3.0</v>
      </c>
      <c r="AH134" s="118">
        <v>1.0</v>
      </c>
    </row>
    <row r="135" ht="14.25" customHeight="1">
      <c r="A135" s="77" t="s">
        <v>7</v>
      </c>
      <c r="B135" s="119"/>
      <c r="C135" s="82"/>
      <c r="D135" s="103" t="s">
        <v>57</v>
      </c>
      <c r="E135" s="104">
        <v>3.0</v>
      </c>
      <c r="F135" s="105">
        <v>2.0</v>
      </c>
      <c r="H135" s="77" t="s">
        <v>15</v>
      </c>
      <c r="I135" s="78">
        <v>1.0</v>
      </c>
      <c r="J135" s="82">
        <v>1.0</v>
      </c>
      <c r="K135" s="103" t="s">
        <v>13</v>
      </c>
      <c r="L135" s="104">
        <v>4.0</v>
      </c>
      <c r="M135" s="105">
        <v>1.0</v>
      </c>
      <c r="O135" s="77" t="s">
        <v>17</v>
      </c>
      <c r="P135" s="120"/>
      <c r="Q135" s="121"/>
      <c r="R135" s="103" t="s">
        <v>57</v>
      </c>
      <c r="S135" s="104">
        <v>5.0</v>
      </c>
      <c r="T135" s="122"/>
      <c r="V135" s="77" t="s">
        <v>9</v>
      </c>
      <c r="W135" s="120"/>
      <c r="X135" s="79"/>
      <c r="Y135" s="103" t="s">
        <v>14</v>
      </c>
      <c r="Z135" s="104">
        <v>1.0</v>
      </c>
      <c r="AA135" s="105">
        <v>2.0</v>
      </c>
      <c r="AC135" s="77" t="s">
        <v>5</v>
      </c>
      <c r="AD135" s="114">
        <v>2.0</v>
      </c>
      <c r="AE135" s="82">
        <v>2.0</v>
      </c>
      <c r="AF135" s="103" t="s">
        <v>26</v>
      </c>
      <c r="AG135" s="104">
        <v>1.0</v>
      </c>
      <c r="AH135" s="123">
        <v>2.0</v>
      </c>
    </row>
    <row r="136" ht="14.25" customHeight="1">
      <c r="A136" s="83" t="s">
        <v>72</v>
      </c>
      <c r="B136" s="84" t="s">
        <v>84</v>
      </c>
      <c r="C136" s="3"/>
      <c r="D136" s="22"/>
      <c r="E136" s="22"/>
      <c r="F136" s="124"/>
      <c r="H136" s="83" t="s">
        <v>72</v>
      </c>
      <c r="I136" s="32" t="s">
        <v>91</v>
      </c>
      <c r="J136" s="33"/>
      <c r="K136" s="22"/>
      <c r="L136" s="22"/>
      <c r="M136" s="124"/>
      <c r="O136" s="125" t="s">
        <v>92</v>
      </c>
      <c r="P136" s="78">
        <v>1.0</v>
      </c>
      <c r="Q136" s="121"/>
      <c r="R136" s="22"/>
      <c r="S136" s="22"/>
      <c r="T136" s="22"/>
      <c r="V136" s="126"/>
      <c r="W136" s="127"/>
      <c r="X136" s="128"/>
      <c r="Y136" s="129" t="s">
        <v>93</v>
      </c>
      <c r="Z136" s="104">
        <v>1.0</v>
      </c>
      <c r="AA136" s="104"/>
      <c r="AC136" s="130" t="s">
        <v>72</v>
      </c>
      <c r="AD136" s="32" t="s">
        <v>49</v>
      </c>
      <c r="AE136" s="33"/>
      <c r="AF136" s="22"/>
      <c r="AG136" s="22"/>
      <c r="AH136" s="124"/>
    </row>
    <row r="137" ht="14.25" customHeight="1">
      <c r="A137" s="83" t="s">
        <v>77</v>
      </c>
      <c r="B137" s="84" t="s">
        <v>31</v>
      </c>
      <c r="C137" s="3"/>
      <c r="D137" s="22"/>
      <c r="E137" s="22"/>
      <c r="F137" s="124"/>
      <c r="H137" s="83" t="s">
        <v>77</v>
      </c>
      <c r="I137" s="84" t="s">
        <v>33</v>
      </c>
      <c r="J137" s="3"/>
      <c r="K137" s="22"/>
      <c r="L137" s="22"/>
      <c r="M137" s="124"/>
      <c r="O137" s="83" t="s">
        <v>72</v>
      </c>
      <c r="P137" s="84" t="s">
        <v>33</v>
      </c>
      <c r="Q137" s="3"/>
      <c r="R137" s="22"/>
      <c r="S137" s="22"/>
      <c r="T137" s="124"/>
      <c r="V137" s="130" t="s">
        <v>72</v>
      </c>
      <c r="W137" s="32" t="s">
        <v>38</v>
      </c>
      <c r="X137" s="33"/>
      <c r="Y137" s="22"/>
      <c r="Z137" s="22"/>
      <c r="AA137" s="124"/>
      <c r="AC137" s="83" t="s">
        <v>77</v>
      </c>
      <c r="AD137" s="32" t="s">
        <v>49</v>
      </c>
      <c r="AE137" s="33"/>
      <c r="AF137" s="22"/>
      <c r="AG137" s="22"/>
      <c r="AH137" s="124"/>
    </row>
    <row r="138" ht="14.25" customHeight="1">
      <c r="O138" s="83" t="s">
        <v>77</v>
      </c>
      <c r="P138" s="84" t="s">
        <v>49</v>
      </c>
      <c r="Q138" s="3"/>
      <c r="V138" s="83" t="s">
        <v>77</v>
      </c>
      <c r="W138" s="84" t="s">
        <v>8</v>
      </c>
      <c r="X138" s="3"/>
      <c r="AF138" s="131"/>
      <c r="AG138" s="131"/>
      <c r="AH138" s="124"/>
    </row>
    <row r="139" ht="14.25" customHeight="1">
      <c r="B139" s="45" t="s">
        <v>94</v>
      </c>
      <c r="C139" s="2"/>
      <c r="D139" s="2"/>
      <c r="E139" s="2"/>
      <c r="F139" s="2"/>
      <c r="G139" s="2"/>
      <c r="H139" s="3"/>
      <c r="K139" s="49" t="s">
        <v>3</v>
      </c>
      <c r="L139" s="17"/>
    </row>
    <row r="140" ht="14.25" customHeight="1">
      <c r="K140" s="50">
        <f>A129+D129+H129+K129+O129+R129+V129+Y129+AC129+AF129</f>
        <v>70</v>
      </c>
      <c r="L140" s="30"/>
    </row>
    <row r="141" ht="14.25" customHeight="1">
      <c r="A141" s="22">
        <v>12.0</v>
      </c>
      <c r="B141" s="52" t="s">
        <v>33</v>
      </c>
      <c r="K141" s="57"/>
      <c r="L141" s="57"/>
    </row>
    <row r="142" ht="14.25" customHeight="1">
      <c r="A142" s="22">
        <v>10.0</v>
      </c>
      <c r="B142" s="52" t="s">
        <v>8</v>
      </c>
      <c r="K142" s="57"/>
      <c r="L142" s="57"/>
    </row>
    <row r="143" ht="14.25" customHeight="1">
      <c r="A143" s="22">
        <v>9.0</v>
      </c>
      <c r="B143" s="52" t="s">
        <v>84</v>
      </c>
      <c r="K143" s="57"/>
      <c r="L143" s="57"/>
    </row>
    <row r="144" ht="14.25" customHeight="1">
      <c r="A144" s="22">
        <v>6.0</v>
      </c>
      <c r="B144" s="52" t="s">
        <v>28</v>
      </c>
      <c r="K144" s="57"/>
      <c r="L144" s="57"/>
    </row>
    <row r="145" ht="14.25" customHeight="1">
      <c r="A145" s="22">
        <v>5.0</v>
      </c>
      <c r="B145" s="52" t="s">
        <v>49</v>
      </c>
      <c r="K145" s="57"/>
      <c r="L145" s="57"/>
    </row>
    <row r="146" ht="14.25" customHeight="1">
      <c r="A146" s="22">
        <v>4.0</v>
      </c>
      <c r="B146" s="52" t="s">
        <v>95</v>
      </c>
    </row>
    <row r="147" ht="14.25" customHeight="1">
      <c r="A147" s="22">
        <v>3.0</v>
      </c>
      <c r="B147" s="52" t="s">
        <v>96</v>
      </c>
    </row>
    <row r="148" ht="14.25" customHeight="1">
      <c r="A148" s="22">
        <v>2.0</v>
      </c>
      <c r="B148" s="52" t="s">
        <v>91</v>
      </c>
    </row>
    <row r="149" ht="14.25" customHeight="1">
      <c r="A149" s="22">
        <v>1.0</v>
      </c>
      <c r="B149" s="52" t="s">
        <v>97</v>
      </c>
    </row>
    <row r="150" ht="14.25" customHeight="1"/>
    <row r="151" ht="14.25" customHeight="1">
      <c r="P151" s="8">
        <v>43800.0</v>
      </c>
      <c r="Q151" s="2"/>
      <c r="R151" s="2"/>
      <c r="S151" s="3"/>
    </row>
    <row r="152" ht="14.25" customHeight="1"/>
    <row r="153" ht="14.25" customHeight="1">
      <c r="A153" s="9">
        <v>14.0</v>
      </c>
      <c r="B153" s="10">
        <v>43805.0</v>
      </c>
      <c r="C153" s="2"/>
      <c r="D153" s="2"/>
      <c r="E153" s="2"/>
      <c r="F153" s="3"/>
      <c r="H153" s="9">
        <v>15.0</v>
      </c>
      <c r="I153" s="10">
        <v>43812.0</v>
      </c>
      <c r="J153" s="2"/>
      <c r="K153" s="2"/>
      <c r="L153" s="2"/>
      <c r="M153" s="3"/>
      <c r="O153" s="9">
        <v>16.0</v>
      </c>
      <c r="P153" s="10">
        <v>43819.0</v>
      </c>
      <c r="Q153" s="2"/>
      <c r="R153" s="2"/>
      <c r="S153" s="2"/>
      <c r="T153" s="3"/>
      <c r="V153" s="9">
        <v>17.0</v>
      </c>
      <c r="W153" s="10">
        <v>43826.0</v>
      </c>
      <c r="X153" s="2"/>
      <c r="Y153" s="2"/>
      <c r="Z153" s="2"/>
      <c r="AA153" s="3"/>
      <c r="AC153" s="51" t="s">
        <v>98</v>
      </c>
      <c r="AD153" s="2"/>
      <c r="AE153" s="2"/>
      <c r="AF153" s="2"/>
      <c r="AG153" s="3"/>
    </row>
    <row r="154" ht="14.25" customHeight="1">
      <c r="A154" s="14">
        <v>8.0</v>
      </c>
      <c r="B154" s="2"/>
      <c r="C154" s="3"/>
      <c r="D154" s="39">
        <v>7.0</v>
      </c>
      <c r="E154" s="2"/>
      <c r="F154" s="3"/>
      <c r="H154" s="14">
        <v>4.0</v>
      </c>
      <c r="I154" s="2"/>
      <c r="J154" s="3"/>
      <c r="K154" s="39">
        <v>4.0</v>
      </c>
      <c r="L154" s="2"/>
      <c r="M154" s="3"/>
      <c r="O154" s="14">
        <v>11.0</v>
      </c>
      <c r="P154" s="2"/>
      <c r="Q154" s="3"/>
      <c r="R154" s="39">
        <v>3.0</v>
      </c>
      <c r="S154" s="2"/>
      <c r="T154" s="3"/>
      <c r="V154" s="14">
        <v>4.0</v>
      </c>
      <c r="W154" s="2"/>
      <c r="X154" s="3"/>
      <c r="Y154" s="39">
        <v>6.0</v>
      </c>
      <c r="Z154" s="2"/>
      <c r="AA154" s="3"/>
      <c r="AC154" s="59"/>
      <c r="AD154" s="59"/>
      <c r="AF154" s="59"/>
      <c r="AG154" s="59"/>
    </row>
    <row r="155" ht="12.0" customHeight="1">
      <c r="A155" s="60"/>
      <c r="B155" s="61" t="s">
        <v>69</v>
      </c>
      <c r="C155" s="62" t="s">
        <v>70</v>
      </c>
      <c r="D155" s="94"/>
      <c r="E155" s="95" t="s">
        <v>69</v>
      </c>
      <c r="F155" s="96" t="s">
        <v>70</v>
      </c>
      <c r="H155" s="66"/>
      <c r="I155" s="61" t="s">
        <v>69</v>
      </c>
      <c r="J155" s="62" t="s">
        <v>70</v>
      </c>
      <c r="K155" s="94"/>
      <c r="L155" s="95" t="s">
        <v>69</v>
      </c>
      <c r="M155" s="96" t="s">
        <v>70</v>
      </c>
      <c r="O155" s="66"/>
      <c r="P155" s="61" t="s">
        <v>69</v>
      </c>
      <c r="Q155" s="62" t="s">
        <v>70</v>
      </c>
      <c r="R155" s="94"/>
      <c r="S155" s="95" t="s">
        <v>69</v>
      </c>
      <c r="T155" s="96" t="s">
        <v>70</v>
      </c>
      <c r="V155" s="66"/>
      <c r="W155" s="61" t="s">
        <v>69</v>
      </c>
      <c r="X155" s="62" t="s">
        <v>70</v>
      </c>
      <c r="Y155" s="94"/>
      <c r="Z155" s="95" t="s">
        <v>69</v>
      </c>
      <c r="AA155" s="96" t="s">
        <v>70</v>
      </c>
      <c r="AC155" s="22">
        <v>8.0</v>
      </c>
      <c r="AD155" s="52" t="s">
        <v>99</v>
      </c>
    </row>
    <row r="156" ht="14.25" customHeight="1">
      <c r="A156" s="67" t="s">
        <v>5</v>
      </c>
      <c r="B156" s="68">
        <v>4.0</v>
      </c>
      <c r="C156" s="69">
        <v>2.0</v>
      </c>
      <c r="D156" s="97" t="s">
        <v>13</v>
      </c>
      <c r="E156" s="98">
        <v>3.0</v>
      </c>
      <c r="F156" s="99"/>
      <c r="H156" s="67" t="s">
        <v>20</v>
      </c>
      <c r="I156" s="68">
        <v>1.0</v>
      </c>
      <c r="J156" s="69">
        <v>1.0</v>
      </c>
      <c r="K156" s="97" t="s">
        <v>5</v>
      </c>
      <c r="L156" s="98"/>
      <c r="M156" s="99"/>
      <c r="O156" s="67" t="s">
        <v>15</v>
      </c>
      <c r="P156" s="68"/>
      <c r="Q156" s="69">
        <v>1.0</v>
      </c>
      <c r="R156" s="97" t="s">
        <v>18</v>
      </c>
      <c r="S156" s="98"/>
      <c r="T156" s="99"/>
      <c r="V156" s="67" t="s">
        <v>10</v>
      </c>
      <c r="W156" s="68">
        <v>2.0</v>
      </c>
      <c r="X156" s="69"/>
      <c r="Y156" s="97" t="s">
        <v>13</v>
      </c>
      <c r="Z156" s="98">
        <v>1.0</v>
      </c>
      <c r="AA156" s="99">
        <v>3.0</v>
      </c>
      <c r="AC156" s="22">
        <v>7.0</v>
      </c>
      <c r="AD156" s="52" t="s">
        <v>82</v>
      </c>
    </row>
    <row r="157" ht="14.25" customHeight="1">
      <c r="A157" s="72" t="s">
        <v>18</v>
      </c>
      <c r="B157" s="73">
        <v>1.0</v>
      </c>
      <c r="C157" s="69">
        <v>3.0</v>
      </c>
      <c r="D157" s="100" t="s">
        <v>26</v>
      </c>
      <c r="E157" s="101"/>
      <c r="F157" s="102">
        <v>1.0</v>
      </c>
      <c r="H157" s="72" t="s">
        <v>15</v>
      </c>
      <c r="I157" s="73"/>
      <c r="J157" s="69"/>
      <c r="K157" s="100" t="s">
        <v>26</v>
      </c>
      <c r="L157" s="101"/>
      <c r="M157" s="102"/>
      <c r="O157" s="72" t="s">
        <v>10</v>
      </c>
      <c r="P157" s="73">
        <v>2.0</v>
      </c>
      <c r="Q157" s="69">
        <v>2.0</v>
      </c>
      <c r="R157" s="100" t="s">
        <v>20</v>
      </c>
      <c r="S157" s="101"/>
      <c r="T157" s="102">
        <v>1.0</v>
      </c>
      <c r="V157" s="72" t="s">
        <v>17</v>
      </c>
      <c r="W157" s="73">
        <v>1.0</v>
      </c>
      <c r="X157" s="69">
        <v>1.0</v>
      </c>
      <c r="Y157" s="100" t="s">
        <v>15</v>
      </c>
      <c r="Z157" s="101"/>
      <c r="AA157" s="102"/>
      <c r="AC157" s="22">
        <v>5.0</v>
      </c>
      <c r="AD157" s="52" t="s">
        <v>61</v>
      </c>
    </row>
    <row r="158" ht="14.25" customHeight="1">
      <c r="A158" s="72" t="s">
        <v>55</v>
      </c>
      <c r="B158" s="73">
        <v>2.0</v>
      </c>
      <c r="C158" s="69"/>
      <c r="D158" s="100" t="s">
        <v>20</v>
      </c>
      <c r="E158" s="101">
        <v>2.0</v>
      </c>
      <c r="F158" s="102"/>
      <c r="H158" s="72" t="s">
        <v>4</v>
      </c>
      <c r="I158" s="73">
        <v>2.0</v>
      </c>
      <c r="J158" s="69"/>
      <c r="K158" s="100" t="s">
        <v>18</v>
      </c>
      <c r="L158" s="101"/>
      <c r="M158" s="102">
        <v>1.0</v>
      </c>
      <c r="O158" s="72" t="s">
        <v>7</v>
      </c>
      <c r="P158" s="73">
        <v>1.0</v>
      </c>
      <c r="Q158" s="69"/>
      <c r="R158" s="100" t="s">
        <v>17</v>
      </c>
      <c r="S158" s="101">
        <v>1.0</v>
      </c>
      <c r="T158" s="102"/>
      <c r="V158" s="72" t="s">
        <v>4</v>
      </c>
      <c r="W158" s="73"/>
      <c r="X158" s="69"/>
      <c r="Y158" s="100" t="s">
        <v>11</v>
      </c>
      <c r="Z158" s="101">
        <v>1.0</v>
      </c>
      <c r="AA158" s="102"/>
      <c r="AC158" s="22">
        <v>4.0</v>
      </c>
      <c r="AD158" s="52" t="s">
        <v>84</v>
      </c>
    </row>
    <row r="159" ht="14.25" customHeight="1">
      <c r="A159" s="72" t="s">
        <v>7</v>
      </c>
      <c r="B159" s="73">
        <v>1.0</v>
      </c>
      <c r="C159" s="76">
        <v>1.0</v>
      </c>
      <c r="D159" s="100" t="s">
        <v>17</v>
      </c>
      <c r="E159" s="101">
        <v>2.0</v>
      </c>
      <c r="F159" s="102">
        <v>3.0</v>
      </c>
      <c r="H159" s="72" t="s">
        <v>17</v>
      </c>
      <c r="I159" s="73">
        <v>1.0</v>
      </c>
      <c r="J159" s="69"/>
      <c r="K159" s="100" t="s">
        <v>57</v>
      </c>
      <c r="L159" s="101">
        <v>1.0</v>
      </c>
      <c r="M159" s="102"/>
      <c r="O159" s="72" t="s">
        <v>5</v>
      </c>
      <c r="P159" s="73">
        <v>2.0</v>
      </c>
      <c r="Q159" s="69">
        <v>2.0</v>
      </c>
      <c r="R159" s="100" t="s">
        <v>57</v>
      </c>
      <c r="S159" s="101">
        <v>2.0</v>
      </c>
      <c r="T159" s="102"/>
      <c r="V159" s="72" t="s">
        <v>14</v>
      </c>
      <c r="W159" s="73"/>
      <c r="X159" s="69">
        <v>2.0</v>
      </c>
      <c r="Y159" s="100" t="s">
        <v>5</v>
      </c>
      <c r="Z159" s="101">
        <v>2.0</v>
      </c>
      <c r="AA159" s="102">
        <v>1.0</v>
      </c>
      <c r="AC159" s="22">
        <v>3.0</v>
      </c>
      <c r="AD159" s="52" t="s">
        <v>100</v>
      </c>
    </row>
    <row r="160" ht="14.25" customHeight="1">
      <c r="A160" s="77" t="s">
        <v>10</v>
      </c>
      <c r="B160" s="78"/>
      <c r="C160" s="79">
        <v>2.0</v>
      </c>
      <c r="D160" s="103" t="s">
        <v>15</v>
      </c>
      <c r="E160" s="104"/>
      <c r="F160" s="105"/>
      <c r="H160" s="77" t="s">
        <v>13</v>
      </c>
      <c r="I160" s="78"/>
      <c r="J160" s="82"/>
      <c r="K160" s="103" t="s">
        <v>10</v>
      </c>
      <c r="L160" s="104">
        <v>3.0</v>
      </c>
      <c r="M160" s="105"/>
      <c r="O160" s="77" t="s">
        <v>13</v>
      </c>
      <c r="P160" s="78">
        <v>4.0</v>
      </c>
      <c r="Q160" s="82">
        <v>1.0</v>
      </c>
      <c r="R160" s="103" t="s">
        <v>14</v>
      </c>
      <c r="S160" s="104"/>
      <c r="T160" s="105">
        <v>2.0</v>
      </c>
      <c r="V160" s="77" t="s">
        <v>57</v>
      </c>
      <c r="W160" s="78">
        <v>1.0</v>
      </c>
      <c r="X160" s="82"/>
      <c r="Y160" s="103" t="s">
        <v>7</v>
      </c>
      <c r="Z160" s="104">
        <v>1.0</v>
      </c>
      <c r="AA160" s="105">
        <v>1.0</v>
      </c>
      <c r="AC160" s="22">
        <v>2.0</v>
      </c>
      <c r="AD160" s="52" t="s">
        <v>101</v>
      </c>
    </row>
    <row r="161" ht="14.25" customHeight="1">
      <c r="A161" s="83" t="s">
        <v>72</v>
      </c>
      <c r="B161" s="84" t="s">
        <v>8</v>
      </c>
      <c r="C161" s="3"/>
      <c r="H161" s="83" t="s">
        <v>72</v>
      </c>
      <c r="I161" s="84" t="s">
        <v>86</v>
      </c>
      <c r="J161" s="3"/>
      <c r="O161" s="77" t="s">
        <v>102</v>
      </c>
      <c r="P161" s="106">
        <v>2.0</v>
      </c>
      <c r="Q161" s="107"/>
      <c r="R161" s="109"/>
      <c r="S161" s="109"/>
      <c r="T161" s="110"/>
      <c r="V161" s="77"/>
      <c r="W161" s="106"/>
      <c r="X161" s="82"/>
      <c r="Y161" s="109" t="s">
        <v>103</v>
      </c>
      <c r="Z161" s="109">
        <v>1.0</v>
      </c>
      <c r="AA161" s="110"/>
      <c r="AC161" s="22">
        <v>1.0</v>
      </c>
      <c r="AD161" s="52" t="s">
        <v>104</v>
      </c>
    </row>
    <row r="162" ht="14.25" customHeight="1">
      <c r="A162" s="83" t="s">
        <v>77</v>
      </c>
      <c r="B162" s="84" t="s">
        <v>105</v>
      </c>
      <c r="C162" s="3"/>
      <c r="D162" s="48"/>
      <c r="E162" s="48"/>
      <c r="F162" s="48"/>
      <c r="H162" s="83" t="s">
        <v>77</v>
      </c>
      <c r="I162" s="84" t="s">
        <v>86</v>
      </c>
      <c r="J162" s="3"/>
      <c r="O162" s="83" t="s">
        <v>72</v>
      </c>
      <c r="P162" s="84" t="s">
        <v>33</v>
      </c>
      <c r="Q162" s="3"/>
      <c r="V162" s="83" t="s">
        <v>72</v>
      </c>
      <c r="W162" s="84" t="s">
        <v>33</v>
      </c>
      <c r="X162" s="3"/>
      <c r="AC162" s="22">
        <v>1.0</v>
      </c>
      <c r="AD162" s="52" t="s">
        <v>103</v>
      </c>
    </row>
    <row r="163" ht="14.25" customHeight="1">
      <c r="H163" s="90"/>
      <c r="I163" s="90"/>
      <c r="J163" s="90"/>
      <c r="K163" s="91"/>
      <c r="L163" s="91"/>
      <c r="O163" s="83" t="s">
        <v>77</v>
      </c>
      <c r="P163" s="84" t="s">
        <v>33</v>
      </c>
      <c r="Q163" s="3"/>
      <c r="V163" s="83" t="s">
        <v>77</v>
      </c>
      <c r="W163" s="84" t="s">
        <v>8</v>
      </c>
      <c r="X163" s="3"/>
      <c r="AC163" s="22"/>
    </row>
    <row r="164" ht="14.25" customHeight="1">
      <c r="H164" s="92" t="s">
        <v>3</v>
      </c>
      <c r="I164" s="93"/>
      <c r="J164" s="30"/>
      <c r="K164" s="50">
        <f>A154+D154+H154+K154+O154+R154+V154+Y154+AC154+AF154</f>
        <v>47</v>
      </c>
      <c r="L164" s="30"/>
      <c r="AC164" s="22"/>
    </row>
    <row r="165" ht="14.25" customHeight="1">
      <c r="AC165" s="22"/>
    </row>
    <row r="166" ht="14.25" customHeight="1">
      <c r="AC166" s="22"/>
    </row>
    <row r="167" ht="14.25" customHeight="1">
      <c r="AC167" s="22"/>
    </row>
    <row r="168" ht="14.25" customHeight="1">
      <c r="P168" s="8">
        <v>43831.0</v>
      </c>
      <c r="Q168" s="2"/>
      <c r="R168" s="2"/>
      <c r="S168" s="3"/>
      <c r="AC168" s="22"/>
    </row>
    <row r="169" ht="14.25" customHeight="1"/>
    <row r="170" ht="14.25" customHeight="1">
      <c r="A170" s="9">
        <v>18.0</v>
      </c>
      <c r="B170" s="10">
        <v>43833.0</v>
      </c>
      <c r="C170" s="2"/>
      <c r="D170" s="2"/>
      <c r="E170" s="2"/>
      <c r="F170" s="3"/>
      <c r="H170" s="9">
        <v>19.0</v>
      </c>
      <c r="I170" s="10">
        <v>43840.0</v>
      </c>
      <c r="J170" s="2"/>
      <c r="K170" s="2"/>
      <c r="L170" s="2"/>
      <c r="M170" s="3"/>
      <c r="O170" s="9">
        <v>20.0</v>
      </c>
      <c r="P170" s="10">
        <v>43847.0</v>
      </c>
      <c r="Q170" s="2"/>
      <c r="R170" s="2"/>
      <c r="S170" s="2"/>
      <c r="T170" s="3"/>
      <c r="V170" s="9">
        <v>21.0</v>
      </c>
      <c r="W170" s="10">
        <v>43854.0</v>
      </c>
      <c r="X170" s="2"/>
      <c r="Y170" s="2"/>
      <c r="Z170" s="2"/>
      <c r="AA170" s="3"/>
      <c r="AC170" s="9">
        <v>22.0</v>
      </c>
      <c r="AD170" s="58">
        <v>43861.0</v>
      </c>
      <c r="AE170" s="2"/>
      <c r="AF170" s="2"/>
      <c r="AG170" s="2"/>
      <c r="AH170" s="3"/>
    </row>
    <row r="171" ht="14.25" customHeight="1">
      <c r="A171" s="14">
        <v>13.0</v>
      </c>
      <c r="B171" s="2"/>
      <c r="C171" s="3"/>
      <c r="D171" s="39">
        <v>7.0</v>
      </c>
      <c r="E171" s="2"/>
      <c r="F171" s="3"/>
      <c r="H171" s="14">
        <v>4.0</v>
      </c>
      <c r="I171" s="2"/>
      <c r="J171" s="3"/>
      <c r="K171" s="39">
        <v>6.0</v>
      </c>
      <c r="L171" s="2"/>
      <c r="M171" s="3"/>
      <c r="O171" s="14">
        <v>6.0</v>
      </c>
      <c r="P171" s="2"/>
      <c r="Q171" s="3"/>
      <c r="R171" s="39">
        <v>4.0</v>
      </c>
      <c r="S171" s="2"/>
      <c r="T171" s="3"/>
      <c r="V171" s="14">
        <v>5.0</v>
      </c>
      <c r="W171" s="2"/>
      <c r="X171" s="3"/>
      <c r="Y171" s="39">
        <v>6.0</v>
      </c>
      <c r="Z171" s="2"/>
      <c r="AA171" s="3"/>
      <c r="AC171" s="14">
        <v>7.0</v>
      </c>
      <c r="AD171" s="2"/>
      <c r="AE171" s="3"/>
      <c r="AF171" s="39">
        <v>7.0</v>
      </c>
      <c r="AG171" s="2"/>
      <c r="AH171" s="3"/>
    </row>
    <row r="172" ht="12.0" customHeight="1">
      <c r="A172" s="66"/>
      <c r="B172" s="61" t="s">
        <v>69</v>
      </c>
      <c r="C172" s="62" t="s">
        <v>70</v>
      </c>
      <c r="D172" s="94"/>
      <c r="E172" s="95" t="s">
        <v>69</v>
      </c>
      <c r="F172" s="96" t="s">
        <v>70</v>
      </c>
      <c r="H172" s="66"/>
      <c r="I172" s="61" t="s">
        <v>69</v>
      </c>
      <c r="J172" s="62" t="s">
        <v>70</v>
      </c>
      <c r="K172" s="94"/>
      <c r="L172" s="95" t="s">
        <v>69</v>
      </c>
      <c r="M172" s="96" t="s">
        <v>70</v>
      </c>
      <c r="O172" s="66"/>
      <c r="P172" s="61" t="s">
        <v>69</v>
      </c>
      <c r="Q172" s="62" t="s">
        <v>70</v>
      </c>
      <c r="R172" s="94"/>
      <c r="S172" s="95" t="s">
        <v>69</v>
      </c>
      <c r="T172" s="96" t="s">
        <v>70</v>
      </c>
      <c r="V172" s="66"/>
      <c r="W172" s="61" t="s">
        <v>69</v>
      </c>
      <c r="X172" s="62" t="s">
        <v>70</v>
      </c>
      <c r="Y172" s="94"/>
      <c r="Z172" s="95" t="s">
        <v>69</v>
      </c>
      <c r="AA172" s="96" t="s">
        <v>70</v>
      </c>
      <c r="AC172" s="66"/>
      <c r="AD172" s="61" t="s">
        <v>69</v>
      </c>
      <c r="AE172" s="62" t="s">
        <v>70</v>
      </c>
      <c r="AF172" s="94"/>
      <c r="AG172" s="95" t="s">
        <v>69</v>
      </c>
      <c r="AH172" s="96" t="s">
        <v>70</v>
      </c>
    </row>
    <row r="173" ht="14.25" customHeight="1">
      <c r="A173" s="67" t="s">
        <v>18</v>
      </c>
      <c r="B173" s="68"/>
      <c r="C173" s="69"/>
      <c r="D173" s="97" t="s">
        <v>4</v>
      </c>
      <c r="E173" s="98"/>
      <c r="F173" s="98"/>
      <c r="H173" s="67" t="s">
        <v>4</v>
      </c>
      <c r="I173" s="68"/>
      <c r="J173" s="69">
        <v>1.0</v>
      </c>
      <c r="K173" s="97" t="s">
        <v>10</v>
      </c>
      <c r="L173" s="98">
        <v>1.0</v>
      </c>
      <c r="M173" s="99">
        <v>1.0</v>
      </c>
      <c r="O173" s="67" t="s">
        <v>6</v>
      </c>
      <c r="P173" s="111"/>
      <c r="Q173" s="112"/>
      <c r="R173" s="97" t="s">
        <v>13</v>
      </c>
      <c r="S173" s="98">
        <v>2.0</v>
      </c>
      <c r="T173" s="99"/>
      <c r="V173" s="67" t="s">
        <v>7</v>
      </c>
      <c r="W173" s="111">
        <v>1.0</v>
      </c>
      <c r="X173" s="69"/>
      <c r="Y173" s="97" t="s">
        <v>20</v>
      </c>
      <c r="Z173" s="98"/>
      <c r="AA173" s="99"/>
      <c r="AC173" s="67" t="s">
        <v>7</v>
      </c>
      <c r="AD173" s="111">
        <v>1.0</v>
      </c>
      <c r="AE173" s="69">
        <v>3.0</v>
      </c>
      <c r="AF173" s="97" t="s">
        <v>20</v>
      </c>
      <c r="AG173" s="98">
        <v>2.0</v>
      </c>
      <c r="AH173" s="99"/>
    </row>
    <row r="174" ht="14.25" customHeight="1">
      <c r="A174" s="72" t="s">
        <v>14</v>
      </c>
      <c r="B174" s="73">
        <v>8.0</v>
      </c>
      <c r="C174" s="69"/>
      <c r="D174" s="101" t="s">
        <v>15</v>
      </c>
      <c r="E174" s="101">
        <v>1.0</v>
      </c>
      <c r="F174" s="102">
        <v>1.0</v>
      </c>
      <c r="H174" s="72" t="s">
        <v>14</v>
      </c>
      <c r="I174" s="73">
        <v>2.0</v>
      </c>
      <c r="J174" s="69"/>
      <c r="K174" s="100" t="s">
        <v>7</v>
      </c>
      <c r="L174" s="101">
        <v>1.0</v>
      </c>
      <c r="M174" s="102"/>
      <c r="O174" s="72" t="s">
        <v>10</v>
      </c>
      <c r="P174" s="114"/>
      <c r="Q174" s="69"/>
      <c r="R174" s="100" t="s">
        <v>57</v>
      </c>
      <c r="S174" s="101">
        <v>1.0</v>
      </c>
      <c r="T174" s="102">
        <v>1.0</v>
      </c>
      <c r="V174" s="72" t="s">
        <v>6</v>
      </c>
      <c r="W174" s="114">
        <v>1.0</v>
      </c>
      <c r="X174" s="76"/>
      <c r="Y174" s="100" t="s">
        <v>14</v>
      </c>
      <c r="Z174" s="101">
        <v>2.0</v>
      </c>
      <c r="AA174" s="102"/>
      <c r="AC174" s="72" t="s">
        <v>6</v>
      </c>
      <c r="AD174" s="114"/>
      <c r="AE174" s="76"/>
      <c r="AF174" s="100" t="s">
        <v>14</v>
      </c>
      <c r="AG174" s="101">
        <v>2.0</v>
      </c>
      <c r="AH174" s="102">
        <v>2.0</v>
      </c>
    </row>
    <row r="175" ht="14.25" customHeight="1">
      <c r="A175" s="72" t="s">
        <v>10</v>
      </c>
      <c r="B175" s="73">
        <v>1.0</v>
      </c>
      <c r="C175" s="69">
        <v>3.0</v>
      </c>
      <c r="D175" s="100" t="s">
        <v>11</v>
      </c>
      <c r="E175" s="101"/>
      <c r="F175" s="102">
        <v>1.0</v>
      </c>
      <c r="H175" s="72" t="s">
        <v>57</v>
      </c>
      <c r="I175" s="116">
        <v>1.0</v>
      </c>
      <c r="J175" s="69"/>
      <c r="K175" s="100" t="s">
        <v>15</v>
      </c>
      <c r="L175" s="101"/>
      <c r="M175" s="102"/>
      <c r="O175" s="72" t="s">
        <v>14</v>
      </c>
      <c r="P175" s="114">
        <v>2.0</v>
      </c>
      <c r="Q175" s="69">
        <v>2.0</v>
      </c>
      <c r="R175" s="100" t="s">
        <v>17</v>
      </c>
      <c r="S175" s="101"/>
      <c r="T175" s="117"/>
      <c r="V175" s="72" t="s">
        <v>106</v>
      </c>
      <c r="W175" s="114"/>
      <c r="X175" s="69">
        <v>2.0</v>
      </c>
      <c r="Y175" s="100" t="s">
        <v>13</v>
      </c>
      <c r="Z175" s="101">
        <v>3.0</v>
      </c>
      <c r="AA175" s="102">
        <v>1.0</v>
      </c>
      <c r="AC175" s="72" t="s">
        <v>106</v>
      </c>
      <c r="AD175" s="114">
        <v>2.0</v>
      </c>
      <c r="AE175" s="69">
        <v>1.0</v>
      </c>
      <c r="AF175" s="100" t="s">
        <v>13</v>
      </c>
      <c r="AG175" s="101">
        <v>2.0</v>
      </c>
      <c r="AH175" s="102"/>
    </row>
    <row r="176" ht="14.25" customHeight="1">
      <c r="A176" s="72" t="s">
        <v>17</v>
      </c>
      <c r="B176" s="73">
        <v>2.0</v>
      </c>
      <c r="C176" s="69">
        <v>3.0</v>
      </c>
      <c r="D176" s="100" t="s">
        <v>57</v>
      </c>
      <c r="E176" s="101">
        <v>5.0</v>
      </c>
      <c r="F176" s="102"/>
      <c r="H176" s="72" t="s">
        <v>6</v>
      </c>
      <c r="I176" s="116"/>
      <c r="J176" s="69">
        <v>1.0</v>
      </c>
      <c r="K176" s="100" t="s">
        <v>17</v>
      </c>
      <c r="L176" s="101">
        <v>1.0</v>
      </c>
      <c r="M176" s="102">
        <v>3.0</v>
      </c>
      <c r="O176" s="72" t="s">
        <v>5</v>
      </c>
      <c r="P176" s="114">
        <v>4.0</v>
      </c>
      <c r="Q176" s="69">
        <v>2.0</v>
      </c>
      <c r="R176" s="100" t="s">
        <v>18</v>
      </c>
      <c r="S176" s="101"/>
      <c r="T176" s="117">
        <v>1.0</v>
      </c>
      <c r="V176" s="72" t="s">
        <v>5</v>
      </c>
      <c r="W176" s="114">
        <v>2.0</v>
      </c>
      <c r="X176" s="69">
        <v>1.0</v>
      </c>
      <c r="Y176" s="100" t="s">
        <v>18</v>
      </c>
      <c r="Z176" s="101">
        <v>1.0</v>
      </c>
      <c r="AA176" s="102"/>
      <c r="AC176" s="72" t="s">
        <v>5</v>
      </c>
      <c r="AD176" s="114">
        <v>3.0</v>
      </c>
      <c r="AE176" s="69">
        <v>1.0</v>
      </c>
      <c r="AF176" s="100" t="s">
        <v>18</v>
      </c>
      <c r="AG176" s="101"/>
      <c r="AH176" s="102"/>
    </row>
    <row r="177" ht="14.25" customHeight="1">
      <c r="A177" s="77" t="s">
        <v>5</v>
      </c>
      <c r="B177" s="73">
        <v>2.0</v>
      </c>
      <c r="C177" s="82">
        <v>3.0</v>
      </c>
      <c r="D177" s="103" t="s">
        <v>13</v>
      </c>
      <c r="E177" s="104">
        <v>1.0</v>
      </c>
      <c r="F177" s="105">
        <v>1.0</v>
      </c>
      <c r="H177" s="77" t="s">
        <v>18</v>
      </c>
      <c r="I177" s="78"/>
      <c r="J177" s="82"/>
      <c r="K177" s="103" t="s">
        <v>5</v>
      </c>
      <c r="L177" s="104">
        <v>3.0</v>
      </c>
      <c r="M177" s="105">
        <v>2.0</v>
      </c>
      <c r="O177" s="77" t="s">
        <v>7</v>
      </c>
      <c r="P177" s="120"/>
      <c r="Q177" s="82">
        <v>1.0</v>
      </c>
      <c r="R177" s="103" t="s">
        <v>11</v>
      </c>
      <c r="S177" s="104">
        <v>1.0</v>
      </c>
      <c r="T177" s="105">
        <v>2.0</v>
      </c>
      <c r="V177" s="77" t="s">
        <v>17</v>
      </c>
      <c r="W177" s="120">
        <v>1.0</v>
      </c>
      <c r="X177" s="79"/>
      <c r="Y177" s="103" t="s">
        <v>15</v>
      </c>
      <c r="Z177" s="132"/>
      <c r="AA177" s="105">
        <v>1.0</v>
      </c>
      <c r="AC177" s="77" t="s">
        <v>17</v>
      </c>
      <c r="AD177" s="120">
        <v>1.0</v>
      </c>
      <c r="AE177" s="79"/>
      <c r="AF177" s="103" t="s">
        <v>15</v>
      </c>
      <c r="AG177" s="132">
        <v>1.0</v>
      </c>
      <c r="AH177" s="105"/>
    </row>
    <row r="178" ht="14.25" customHeight="1">
      <c r="A178" s="83" t="s">
        <v>72</v>
      </c>
      <c r="B178" s="84" t="s">
        <v>36</v>
      </c>
      <c r="C178" s="3"/>
      <c r="D178" s="22"/>
      <c r="E178" s="22"/>
      <c r="F178" s="124"/>
      <c r="H178" s="77" t="s">
        <v>74</v>
      </c>
      <c r="I178" s="133">
        <v>1.0</v>
      </c>
      <c r="J178" s="82"/>
      <c r="K178" s="22"/>
      <c r="L178" s="22"/>
      <c r="M178" s="124"/>
      <c r="O178" s="83" t="s">
        <v>72</v>
      </c>
      <c r="P178" s="84" t="s">
        <v>8</v>
      </c>
      <c r="Q178" s="3"/>
      <c r="R178" s="22"/>
      <c r="S178" s="22"/>
      <c r="T178" s="22"/>
      <c r="V178" s="83" t="s">
        <v>72</v>
      </c>
      <c r="W178" s="84" t="s">
        <v>33</v>
      </c>
      <c r="X178" s="3"/>
      <c r="Y178" s="134"/>
      <c r="Z178" s="135"/>
      <c r="AA178" s="135"/>
      <c r="AC178" s="130" t="s">
        <v>72</v>
      </c>
      <c r="AD178" s="32" t="s">
        <v>91</v>
      </c>
      <c r="AE178" s="33"/>
      <c r="AF178" s="22"/>
      <c r="AG178" s="22"/>
      <c r="AH178" s="124"/>
    </row>
    <row r="179" ht="14.25" customHeight="1">
      <c r="A179" s="83" t="s">
        <v>77</v>
      </c>
      <c r="B179" s="84" t="s">
        <v>31</v>
      </c>
      <c r="C179" s="3"/>
      <c r="D179" s="22"/>
      <c r="E179" s="22"/>
      <c r="F179" s="124"/>
      <c r="H179" s="83" t="s">
        <v>72</v>
      </c>
      <c r="I179" s="32" t="s">
        <v>61</v>
      </c>
      <c r="J179" s="33"/>
      <c r="K179" s="22"/>
      <c r="L179" s="22"/>
      <c r="M179" s="124"/>
      <c r="O179" s="83" t="s">
        <v>77</v>
      </c>
      <c r="P179" s="84" t="s">
        <v>8</v>
      </c>
      <c r="Q179" s="3"/>
      <c r="R179" s="22"/>
      <c r="S179" s="22"/>
      <c r="T179" s="124"/>
      <c r="V179" s="83" t="s">
        <v>77</v>
      </c>
      <c r="W179" s="84" t="s">
        <v>61</v>
      </c>
      <c r="X179" s="3"/>
      <c r="Y179" s="22"/>
      <c r="Z179" s="22"/>
      <c r="AA179" s="124"/>
      <c r="AC179" s="83" t="s">
        <v>77</v>
      </c>
      <c r="AD179" s="32" t="s">
        <v>38</v>
      </c>
      <c r="AE179" s="33"/>
      <c r="AF179" s="22"/>
      <c r="AG179" s="22"/>
      <c r="AH179" s="124"/>
    </row>
    <row r="180" ht="14.25" customHeight="1">
      <c r="A180" s="124"/>
      <c r="B180" s="22"/>
      <c r="C180" s="22"/>
      <c r="D180" s="22"/>
      <c r="E180" s="22"/>
      <c r="F180" s="124"/>
      <c r="H180" s="83" t="s">
        <v>77</v>
      </c>
      <c r="I180" s="84" t="s">
        <v>8</v>
      </c>
      <c r="J180" s="3"/>
      <c r="K180" s="22"/>
      <c r="L180" s="22"/>
      <c r="M180" s="124"/>
      <c r="AF180" s="131"/>
      <c r="AG180" s="131"/>
      <c r="AH180" s="124"/>
    </row>
    <row r="181" ht="14.25" customHeight="1">
      <c r="A181" s="124"/>
      <c r="B181" s="22"/>
      <c r="C181" s="22"/>
      <c r="D181" s="22"/>
      <c r="E181" s="22"/>
      <c r="F181" s="124"/>
      <c r="H181" s="124"/>
      <c r="I181" s="22"/>
      <c r="J181" s="22"/>
      <c r="K181" s="22"/>
      <c r="L181" s="22"/>
      <c r="M181" s="124"/>
      <c r="AF181" s="131"/>
      <c r="AG181" s="131"/>
      <c r="AH181" s="124"/>
    </row>
    <row r="182" ht="14.25" customHeight="1">
      <c r="I182" s="22"/>
      <c r="J182" s="22"/>
    </row>
    <row r="183" ht="14.25" customHeight="1">
      <c r="B183" s="45" t="s">
        <v>107</v>
      </c>
      <c r="C183" s="2"/>
      <c r="D183" s="2"/>
      <c r="E183" s="2"/>
      <c r="F183" s="2"/>
      <c r="G183" s="2"/>
      <c r="H183" s="3"/>
      <c r="K183" s="49" t="s">
        <v>3</v>
      </c>
      <c r="L183" s="17"/>
    </row>
    <row r="184" ht="14.25" customHeight="1">
      <c r="K184" s="50">
        <f>A171+D171+H171+K171+O171+R171+V171+Y171+AC171+AF171</f>
        <v>65</v>
      </c>
      <c r="L184" s="30"/>
    </row>
    <row r="185" ht="14.25" customHeight="1">
      <c r="A185" s="22">
        <v>16.0</v>
      </c>
      <c r="B185" s="52" t="s">
        <v>36</v>
      </c>
      <c r="K185" s="57"/>
      <c r="L185" s="57"/>
    </row>
    <row r="186" ht="14.25" customHeight="1">
      <c r="A186" s="22">
        <v>14.0</v>
      </c>
      <c r="B186" s="52" t="s">
        <v>8</v>
      </c>
      <c r="K186" s="57"/>
      <c r="L186" s="57"/>
    </row>
    <row r="187" ht="14.25" customHeight="1">
      <c r="A187" s="22">
        <v>8.0</v>
      </c>
      <c r="B187" s="52" t="s">
        <v>33</v>
      </c>
      <c r="K187" s="57"/>
      <c r="L187" s="57"/>
    </row>
    <row r="188" ht="14.25" customHeight="1">
      <c r="A188" s="22">
        <v>7.0</v>
      </c>
      <c r="B188" s="52" t="s">
        <v>84</v>
      </c>
    </row>
    <row r="189" ht="14.25" customHeight="1">
      <c r="A189" s="22">
        <v>5.0</v>
      </c>
      <c r="B189" s="52" t="s">
        <v>61</v>
      </c>
    </row>
    <row r="190" ht="14.25" customHeight="1">
      <c r="A190" s="22">
        <v>4.0</v>
      </c>
      <c r="B190" s="52" t="s">
        <v>82</v>
      </c>
    </row>
    <row r="191" ht="14.25" customHeight="1">
      <c r="A191" s="22">
        <v>3.0</v>
      </c>
      <c r="B191" s="52" t="s">
        <v>29</v>
      </c>
    </row>
    <row r="192" ht="14.25" customHeight="1">
      <c r="A192" s="22">
        <v>2.0</v>
      </c>
      <c r="B192" s="52" t="s">
        <v>108</v>
      </c>
    </row>
    <row r="193" ht="14.25" customHeight="1">
      <c r="A193" s="22">
        <v>1.0</v>
      </c>
      <c r="B193" s="52" t="s">
        <v>109</v>
      </c>
    </row>
    <row r="194" ht="14.25" customHeight="1">
      <c r="A194" s="22">
        <v>1.0</v>
      </c>
      <c r="B194" s="52" t="s">
        <v>74</v>
      </c>
    </row>
    <row r="195" ht="14.25" customHeight="1">
      <c r="A195" s="22"/>
    </row>
    <row r="196" ht="14.25" customHeight="1">
      <c r="A196" s="22"/>
    </row>
    <row r="197" ht="14.25" customHeight="1">
      <c r="P197" s="8">
        <v>43862.0</v>
      </c>
      <c r="Q197" s="2"/>
      <c r="R197" s="2"/>
      <c r="S197" s="3"/>
    </row>
    <row r="198" ht="14.25" customHeight="1"/>
    <row r="199" ht="14.25" customHeight="1">
      <c r="A199" s="9">
        <v>23.0</v>
      </c>
      <c r="B199" s="10">
        <v>43868.0</v>
      </c>
      <c r="C199" s="2"/>
      <c r="D199" s="2"/>
      <c r="E199" s="2"/>
      <c r="F199" s="3"/>
      <c r="H199" s="9">
        <v>24.0</v>
      </c>
      <c r="I199" s="10">
        <v>43875.0</v>
      </c>
      <c r="J199" s="2"/>
      <c r="K199" s="2"/>
      <c r="L199" s="2"/>
      <c r="M199" s="3"/>
      <c r="O199" s="9">
        <v>25.0</v>
      </c>
      <c r="P199" s="10">
        <v>43882.0</v>
      </c>
      <c r="Q199" s="2"/>
      <c r="R199" s="2"/>
      <c r="S199" s="2"/>
      <c r="T199" s="3"/>
      <c r="V199" s="9">
        <v>26.0</v>
      </c>
      <c r="W199" s="10">
        <v>43889.0</v>
      </c>
      <c r="X199" s="2"/>
      <c r="Y199" s="2"/>
      <c r="Z199" s="2"/>
      <c r="AA199" s="3"/>
      <c r="AC199" s="51" t="s">
        <v>110</v>
      </c>
      <c r="AD199" s="2"/>
      <c r="AE199" s="2"/>
      <c r="AF199" s="2"/>
      <c r="AG199" s="3"/>
    </row>
    <row r="200" ht="14.25" customHeight="1">
      <c r="A200" s="14">
        <v>8.0</v>
      </c>
      <c r="B200" s="2"/>
      <c r="C200" s="3"/>
      <c r="D200" s="39">
        <v>5.0</v>
      </c>
      <c r="E200" s="2"/>
      <c r="F200" s="3"/>
      <c r="H200" s="14">
        <v>7.0</v>
      </c>
      <c r="I200" s="2"/>
      <c r="J200" s="3"/>
      <c r="K200" s="39">
        <v>6.0</v>
      </c>
      <c r="L200" s="2"/>
      <c r="M200" s="3"/>
      <c r="O200" s="14">
        <v>6.0</v>
      </c>
      <c r="P200" s="2"/>
      <c r="Q200" s="3"/>
      <c r="R200" s="39">
        <v>4.0</v>
      </c>
      <c r="S200" s="2"/>
      <c r="T200" s="3"/>
      <c r="V200" s="14">
        <v>8.0</v>
      </c>
      <c r="W200" s="2"/>
      <c r="X200" s="3"/>
      <c r="Y200" s="39">
        <v>13.0</v>
      </c>
      <c r="Z200" s="2"/>
      <c r="AA200" s="3"/>
      <c r="AC200" s="59"/>
      <c r="AD200" s="59"/>
      <c r="AF200" s="59"/>
      <c r="AG200" s="59"/>
    </row>
    <row r="201" ht="12.0" customHeight="1">
      <c r="A201" s="60"/>
      <c r="B201" s="61" t="s">
        <v>69</v>
      </c>
      <c r="C201" s="62" t="s">
        <v>70</v>
      </c>
      <c r="D201" s="94"/>
      <c r="E201" s="95" t="s">
        <v>69</v>
      </c>
      <c r="F201" s="96" t="s">
        <v>70</v>
      </c>
      <c r="H201" s="66"/>
      <c r="I201" s="61" t="s">
        <v>69</v>
      </c>
      <c r="J201" s="62" t="s">
        <v>70</v>
      </c>
      <c r="K201" s="94"/>
      <c r="L201" s="95" t="s">
        <v>69</v>
      </c>
      <c r="M201" s="96" t="s">
        <v>70</v>
      </c>
      <c r="O201" s="66"/>
      <c r="P201" s="61" t="s">
        <v>69</v>
      </c>
      <c r="Q201" s="62" t="s">
        <v>70</v>
      </c>
      <c r="R201" s="94"/>
      <c r="S201" s="95" t="s">
        <v>69</v>
      </c>
      <c r="T201" s="96" t="s">
        <v>70</v>
      </c>
      <c r="V201" s="66"/>
      <c r="W201" s="61" t="s">
        <v>69</v>
      </c>
      <c r="X201" s="62" t="s">
        <v>70</v>
      </c>
      <c r="Y201" s="94"/>
      <c r="Z201" s="95" t="s">
        <v>69</v>
      </c>
      <c r="AA201" s="96" t="s">
        <v>70</v>
      </c>
      <c r="AC201" s="22">
        <v>9.0</v>
      </c>
      <c r="AD201" s="52" t="s">
        <v>8</v>
      </c>
    </row>
    <row r="202" ht="14.25" customHeight="1">
      <c r="A202" s="67" t="s">
        <v>14</v>
      </c>
      <c r="B202" s="68">
        <v>4.0</v>
      </c>
      <c r="C202" s="69"/>
      <c r="D202" s="97" t="s">
        <v>106</v>
      </c>
      <c r="E202" s="98">
        <v>1.0</v>
      </c>
      <c r="F202" s="99"/>
      <c r="H202" s="67" t="s">
        <v>10</v>
      </c>
      <c r="I202" s="68">
        <v>2.0</v>
      </c>
      <c r="J202" s="69">
        <v>1.0</v>
      </c>
      <c r="K202" s="97" t="s">
        <v>15</v>
      </c>
      <c r="L202" s="98">
        <v>1.0</v>
      </c>
      <c r="M202" s="99">
        <v>1.0</v>
      </c>
      <c r="O202" s="67" t="s">
        <v>10</v>
      </c>
      <c r="P202" s="68">
        <v>1.0</v>
      </c>
      <c r="Q202" s="69">
        <v>1.0</v>
      </c>
      <c r="R202" s="97" t="s">
        <v>13</v>
      </c>
      <c r="S202" s="98">
        <v>1.0</v>
      </c>
      <c r="T202" s="99"/>
      <c r="V202" s="67" t="s">
        <v>5</v>
      </c>
      <c r="W202" s="68">
        <v>4.0</v>
      </c>
      <c r="X202" s="69">
        <v>3.0</v>
      </c>
      <c r="Y202" s="97" t="s">
        <v>13</v>
      </c>
      <c r="Z202" s="98">
        <v>1.0</v>
      </c>
      <c r="AA202" s="99">
        <v>1.0</v>
      </c>
      <c r="AC202" s="22">
        <v>7.0</v>
      </c>
      <c r="AD202" s="52" t="s">
        <v>38</v>
      </c>
    </row>
    <row r="203" ht="14.25" customHeight="1">
      <c r="A203" s="72" t="s">
        <v>13</v>
      </c>
      <c r="B203" s="73"/>
      <c r="C203" s="69">
        <v>1.0</v>
      </c>
      <c r="D203" s="100" t="s">
        <v>7</v>
      </c>
      <c r="E203" s="101">
        <v>1.0</v>
      </c>
      <c r="F203" s="102">
        <v>2.0</v>
      </c>
      <c r="H203" s="72" t="s">
        <v>5</v>
      </c>
      <c r="I203" s="73">
        <v>1.0</v>
      </c>
      <c r="J203" s="69">
        <v>1.0</v>
      </c>
      <c r="K203" s="100" t="s">
        <v>14</v>
      </c>
      <c r="L203" s="101"/>
      <c r="M203" s="102">
        <v>2.0</v>
      </c>
      <c r="O203" s="72" t="s">
        <v>5</v>
      </c>
      <c r="P203" s="73">
        <v>3.0</v>
      </c>
      <c r="Q203" s="69">
        <v>1.0</v>
      </c>
      <c r="R203" s="100" t="s">
        <v>4</v>
      </c>
      <c r="S203" s="101"/>
      <c r="T203" s="102">
        <v>1.0</v>
      </c>
      <c r="V203" s="72" t="s">
        <v>106</v>
      </c>
      <c r="W203" s="73">
        <v>2.0</v>
      </c>
      <c r="X203" s="69">
        <v>1.0</v>
      </c>
      <c r="Y203" s="100" t="s">
        <v>20</v>
      </c>
      <c r="Z203" s="101">
        <v>2.0</v>
      </c>
      <c r="AA203" s="102">
        <v>1.0</v>
      </c>
      <c r="AC203" s="22">
        <v>6.0</v>
      </c>
      <c r="AD203" s="52" t="s">
        <v>82</v>
      </c>
    </row>
    <row r="204" ht="14.25" customHeight="1">
      <c r="A204" s="72" t="s">
        <v>24</v>
      </c>
      <c r="B204" s="73">
        <v>1.0</v>
      </c>
      <c r="C204" s="69">
        <v>2.0</v>
      </c>
      <c r="D204" s="100" t="s">
        <v>20</v>
      </c>
      <c r="E204" s="101">
        <v>2.0</v>
      </c>
      <c r="F204" s="102"/>
      <c r="H204" s="72" t="s">
        <v>20</v>
      </c>
      <c r="I204" s="73">
        <v>1.0</v>
      </c>
      <c r="J204" s="69">
        <v>1.0</v>
      </c>
      <c r="K204" s="100" t="s">
        <v>17</v>
      </c>
      <c r="L204" s="101"/>
      <c r="M204" s="102"/>
      <c r="O204" s="72" t="s">
        <v>7</v>
      </c>
      <c r="P204" s="73"/>
      <c r="Q204" s="69">
        <v>1.0</v>
      </c>
      <c r="R204" s="100" t="s">
        <v>20</v>
      </c>
      <c r="S204" s="101">
        <v>2.0</v>
      </c>
      <c r="T204" s="102"/>
      <c r="V204" s="72" t="s">
        <v>18</v>
      </c>
      <c r="W204" s="73"/>
      <c r="X204" s="69"/>
      <c r="Y204" s="100" t="s">
        <v>11</v>
      </c>
      <c r="Z204" s="101">
        <v>1.0</v>
      </c>
      <c r="AA204" s="102">
        <v>1.0</v>
      </c>
      <c r="AC204" s="22">
        <v>5.0</v>
      </c>
      <c r="AD204" s="52" t="s">
        <v>61</v>
      </c>
    </row>
    <row r="205" ht="14.25" customHeight="1">
      <c r="A205" s="72" t="s">
        <v>11</v>
      </c>
      <c r="B205" s="73">
        <v>3.0</v>
      </c>
      <c r="C205" s="76"/>
      <c r="D205" s="100" t="s">
        <v>15</v>
      </c>
      <c r="E205" s="101"/>
      <c r="F205" s="102">
        <v>1.0</v>
      </c>
      <c r="H205" s="72" t="s">
        <v>13</v>
      </c>
      <c r="I205" s="73">
        <v>2.0</v>
      </c>
      <c r="J205" s="69">
        <v>1.0</v>
      </c>
      <c r="K205" s="100" t="s">
        <v>57</v>
      </c>
      <c r="L205" s="101">
        <v>3.0</v>
      </c>
      <c r="M205" s="102"/>
      <c r="O205" s="72" t="s">
        <v>18</v>
      </c>
      <c r="P205" s="73">
        <v>2.0</v>
      </c>
      <c r="Q205" s="69">
        <v>2.0</v>
      </c>
      <c r="R205" s="100" t="s">
        <v>55</v>
      </c>
      <c r="S205" s="101">
        <v>1.0</v>
      </c>
      <c r="T205" s="102"/>
      <c r="V205" s="72" t="s">
        <v>24</v>
      </c>
      <c r="W205" s="73">
        <v>1.0</v>
      </c>
      <c r="X205" s="69">
        <v>2.0</v>
      </c>
      <c r="Y205" s="100" t="s">
        <v>9</v>
      </c>
      <c r="Z205" s="101">
        <v>2.0</v>
      </c>
      <c r="AA205" s="102">
        <v>2.0</v>
      </c>
      <c r="AC205" s="22">
        <v>4.0</v>
      </c>
      <c r="AD205" s="52" t="s">
        <v>111</v>
      </c>
    </row>
    <row r="206" ht="14.25" customHeight="1">
      <c r="A206" s="77" t="s">
        <v>9</v>
      </c>
      <c r="B206" s="78"/>
      <c r="C206" s="79">
        <v>1.0</v>
      </c>
      <c r="D206" s="103" t="s">
        <v>5</v>
      </c>
      <c r="E206" s="104">
        <v>1.0</v>
      </c>
      <c r="F206" s="105">
        <v>2.0</v>
      </c>
      <c r="H206" s="77" t="s">
        <v>7</v>
      </c>
      <c r="I206" s="78">
        <v>1.0</v>
      </c>
      <c r="J206" s="82">
        <v>2.0</v>
      </c>
      <c r="K206" s="103" t="s">
        <v>24</v>
      </c>
      <c r="L206" s="104">
        <v>2.0</v>
      </c>
      <c r="M206" s="105">
        <v>1.0</v>
      </c>
      <c r="O206" s="77" t="s">
        <v>57</v>
      </c>
      <c r="P206" s="78"/>
      <c r="Q206" s="82">
        <v>1.0</v>
      </c>
      <c r="R206" s="103" t="s">
        <v>15</v>
      </c>
      <c r="S206" s="104"/>
      <c r="T206" s="105"/>
      <c r="V206" s="77" t="s">
        <v>112</v>
      </c>
      <c r="W206" s="78">
        <v>1.0</v>
      </c>
      <c r="X206" s="82"/>
      <c r="Y206" s="103" t="s">
        <v>17</v>
      </c>
      <c r="Z206" s="104">
        <v>5.0</v>
      </c>
      <c r="AA206" s="105"/>
      <c r="AC206" s="22">
        <v>3.0</v>
      </c>
      <c r="AD206" s="52" t="s">
        <v>84</v>
      </c>
    </row>
    <row r="207" ht="14.25" customHeight="1">
      <c r="A207" s="83" t="s">
        <v>72</v>
      </c>
      <c r="B207" s="84" t="s">
        <v>35</v>
      </c>
      <c r="C207" s="3"/>
      <c r="H207" s="83" t="s">
        <v>72</v>
      </c>
      <c r="I207" s="84" t="s">
        <v>35</v>
      </c>
      <c r="J207" s="3"/>
      <c r="O207" s="83" t="s">
        <v>72</v>
      </c>
      <c r="P207" s="84" t="s">
        <v>8</v>
      </c>
      <c r="Q207" s="3"/>
      <c r="V207" s="135"/>
      <c r="W207" s="136"/>
      <c r="X207" s="137"/>
      <c r="Y207" s="109" t="s">
        <v>73</v>
      </c>
      <c r="Z207" s="109">
        <v>1.0</v>
      </c>
      <c r="AA207" s="110"/>
      <c r="AC207" s="22">
        <v>2.0</v>
      </c>
      <c r="AD207" s="52" t="s">
        <v>113</v>
      </c>
    </row>
    <row r="208" ht="14.25" customHeight="1">
      <c r="A208" s="83" t="s">
        <v>77</v>
      </c>
      <c r="B208" s="84" t="s">
        <v>41</v>
      </c>
      <c r="C208" s="3"/>
      <c r="D208" s="48"/>
      <c r="E208" s="48"/>
      <c r="F208" s="48"/>
      <c r="H208" s="83" t="s">
        <v>77</v>
      </c>
      <c r="I208" s="84" t="s">
        <v>31</v>
      </c>
      <c r="J208" s="3"/>
      <c r="O208" s="83" t="s">
        <v>77</v>
      </c>
      <c r="P208" s="84" t="s">
        <v>91</v>
      </c>
      <c r="Q208" s="3"/>
      <c r="V208" s="138"/>
      <c r="W208" s="139"/>
      <c r="X208" s="140"/>
      <c r="Y208" s="109" t="s">
        <v>114</v>
      </c>
      <c r="Z208" s="109">
        <v>1.0</v>
      </c>
      <c r="AA208" s="110"/>
      <c r="AC208" s="22">
        <v>1.0</v>
      </c>
      <c r="AD208" s="52" t="s">
        <v>115</v>
      </c>
    </row>
    <row r="209" ht="14.25" customHeight="1">
      <c r="H209" s="90"/>
      <c r="I209" s="90"/>
      <c r="J209" s="90"/>
      <c r="K209" s="91"/>
      <c r="L209" s="91"/>
      <c r="V209" s="130" t="s">
        <v>72</v>
      </c>
      <c r="W209" s="32" t="s">
        <v>38</v>
      </c>
      <c r="X209" s="33"/>
      <c r="AC209" s="22">
        <v>1.0</v>
      </c>
      <c r="AD209" s="52" t="s">
        <v>73</v>
      </c>
    </row>
    <row r="210" ht="14.25" customHeight="1">
      <c r="H210" s="92" t="s">
        <v>3</v>
      </c>
      <c r="I210" s="93"/>
      <c r="J210" s="30"/>
      <c r="K210" s="50">
        <f>A200+D200+H200+K200+O200+R200+V200+Y200+AC200+AF200</f>
        <v>57</v>
      </c>
      <c r="L210" s="30"/>
      <c r="V210" s="83" t="s">
        <v>77</v>
      </c>
      <c r="W210" s="84" t="s">
        <v>61</v>
      </c>
      <c r="X210" s="3"/>
      <c r="AC210" s="22"/>
      <c r="AD210" s="52" t="s">
        <v>92</v>
      </c>
    </row>
    <row r="211" ht="14.25" customHeight="1">
      <c r="AC211" s="22"/>
    </row>
    <row r="212" ht="14.25" customHeight="1">
      <c r="A212" s="141" t="s">
        <v>116</v>
      </c>
      <c r="B212" s="142"/>
      <c r="C212" s="142"/>
      <c r="D212" s="142"/>
      <c r="E212" s="142"/>
      <c r="F212" s="142"/>
      <c r="G212" s="142"/>
      <c r="H212" s="142"/>
      <c r="I212" s="143"/>
    </row>
    <row r="213" ht="14.25" customHeight="1"/>
    <row r="214" ht="14.25" customHeight="1">
      <c r="P214" s="8">
        <v>44013.0</v>
      </c>
      <c r="Q214" s="2"/>
      <c r="R214" s="2"/>
      <c r="S214" s="3"/>
      <c r="V214" s="52" t="s">
        <v>117</v>
      </c>
    </row>
    <row r="215" ht="14.25" customHeight="1"/>
    <row r="216" ht="14.25" customHeight="1">
      <c r="A216" s="9">
        <v>27.0</v>
      </c>
      <c r="B216" s="10">
        <v>44036.0</v>
      </c>
      <c r="C216" s="2"/>
      <c r="D216" s="2"/>
      <c r="E216" s="2"/>
      <c r="F216" s="3"/>
      <c r="H216" s="9">
        <v>28.0</v>
      </c>
      <c r="I216" s="10">
        <v>44043.0</v>
      </c>
      <c r="J216" s="2"/>
      <c r="K216" s="2"/>
      <c r="L216" s="2"/>
      <c r="M216" s="3"/>
      <c r="O216" s="144"/>
      <c r="P216" s="145"/>
      <c r="Q216" s="145"/>
      <c r="R216" s="51" t="s">
        <v>118</v>
      </c>
      <c r="S216" s="2"/>
      <c r="T216" s="2"/>
      <c r="U216" s="2"/>
      <c r="V216" s="3"/>
      <c r="W216" s="145"/>
      <c r="X216" s="145"/>
      <c r="Y216" s="145"/>
      <c r="Z216" s="145"/>
      <c r="AA216" s="145"/>
      <c r="AC216" s="146"/>
      <c r="AD216" s="146"/>
      <c r="AE216" s="146"/>
      <c r="AF216" s="146"/>
      <c r="AG216" s="146"/>
    </row>
    <row r="217" ht="23.25" customHeight="1">
      <c r="A217" s="14">
        <v>2.0</v>
      </c>
      <c r="B217" s="2"/>
      <c r="C217" s="3"/>
      <c r="D217" s="147">
        <v>4.0</v>
      </c>
      <c r="E217" s="2"/>
      <c r="F217" s="3"/>
      <c r="H217" s="14">
        <v>2.0</v>
      </c>
      <c r="I217" s="2"/>
      <c r="J217" s="3"/>
      <c r="K217" s="147">
        <v>7.0</v>
      </c>
      <c r="L217" s="2"/>
      <c r="M217" s="3"/>
      <c r="O217" s="148"/>
      <c r="P217" s="148"/>
      <c r="Q217" s="148"/>
      <c r="R217" s="59"/>
      <c r="S217" s="59"/>
      <c r="U217" s="59"/>
      <c r="V217" s="59"/>
      <c r="W217" s="148"/>
      <c r="X217" s="148"/>
      <c r="Y217" s="148"/>
      <c r="Z217" s="148"/>
      <c r="AA217" s="148"/>
    </row>
    <row r="218" ht="12.0" customHeight="1">
      <c r="A218" s="60"/>
      <c r="B218" s="61" t="s">
        <v>69</v>
      </c>
      <c r="C218" s="62" t="s">
        <v>70</v>
      </c>
      <c r="D218" s="149"/>
      <c r="E218" s="150" t="s">
        <v>69</v>
      </c>
      <c r="F218" s="151" t="s">
        <v>70</v>
      </c>
      <c r="H218" s="66"/>
      <c r="I218" s="61" t="s">
        <v>69</v>
      </c>
      <c r="J218" s="62" t="s">
        <v>70</v>
      </c>
      <c r="K218" s="149"/>
      <c r="L218" s="150" t="s">
        <v>69</v>
      </c>
      <c r="M218" s="151" t="s">
        <v>70</v>
      </c>
      <c r="O218" s="152"/>
      <c r="P218" s="153" t="s">
        <v>69</v>
      </c>
      <c r="Q218" s="153" t="s">
        <v>70</v>
      </c>
      <c r="R218" s="22">
        <v>4.0</v>
      </c>
      <c r="S218" s="52" t="s">
        <v>119</v>
      </c>
      <c r="W218" s="153" t="s">
        <v>69</v>
      </c>
      <c r="X218" s="153" t="s">
        <v>70</v>
      </c>
      <c r="Y218" s="152"/>
      <c r="Z218" s="153" t="s">
        <v>69</v>
      </c>
      <c r="AA218" s="153" t="s">
        <v>70</v>
      </c>
      <c r="AC218" s="22"/>
    </row>
    <row r="219" ht="14.25" customHeight="1">
      <c r="A219" s="67" t="s">
        <v>6</v>
      </c>
      <c r="B219" s="68"/>
      <c r="C219" s="69"/>
      <c r="D219" s="154" t="s">
        <v>5</v>
      </c>
      <c r="E219" s="155">
        <v>2.0</v>
      </c>
      <c r="F219" s="156"/>
      <c r="H219" s="67" t="s">
        <v>120</v>
      </c>
      <c r="I219" s="68"/>
      <c r="J219" s="69"/>
      <c r="K219" s="154" t="s">
        <v>11</v>
      </c>
      <c r="L219" s="155"/>
      <c r="M219" s="156">
        <v>1.0</v>
      </c>
      <c r="O219" s="135"/>
      <c r="P219" s="136"/>
      <c r="Q219" s="137"/>
      <c r="R219" s="22">
        <v>2.0</v>
      </c>
      <c r="S219" s="52" t="s">
        <v>32</v>
      </c>
      <c r="W219" s="136"/>
      <c r="X219" s="137"/>
      <c r="Y219" s="135"/>
      <c r="Z219" s="135"/>
      <c r="AA219" s="137"/>
      <c r="AC219" s="22"/>
    </row>
    <row r="220" ht="14.25" customHeight="1">
      <c r="A220" s="72" t="s">
        <v>17</v>
      </c>
      <c r="B220" s="73"/>
      <c r="C220" s="69">
        <v>2.0</v>
      </c>
      <c r="D220" s="157" t="s">
        <v>120</v>
      </c>
      <c r="E220" s="158">
        <v>1.0</v>
      </c>
      <c r="F220" s="159"/>
      <c r="H220" s="72" t="s">
        <v>121</v>
      </c>
      <c r="I220" s="73">
        <v>1.0</v>
      </c>
      <c r="J220" s="69"/>
      <c r="K220" s="157" t="s">
        <v>122</v>
      </c>
      <c r="L220" s="158">
        <v>1.0</v>
      </c>
      <c r="M220" s="159">
        <v>2.0</v>
      </c>
      <c r="O220" s="135"/>
      <c r="P220" s="136"/>
      <c r="Q220" s="137"/>
      <c r="R220" s="22">
        <v>1.0</v>
      </c>
      <c r="S220" s="52" t="s">
        <v>123</v>
      </c>
      <c r="V220" s="135"/>
      <c r="W220" s="136"/>
      <c r="X220" s="137"/>
      <c r="Y220" s="135"/>
      <c r="Z220" s="135"/>
      <c r="AA220" s="137"/>
      <c r="AC220" s="22"/>
    </row>
    <row r="221" ht="14.25" customHeight="1">
      <c r="A221" s="72" t="s">
        <v>11</v>
      </c>
      <c r="B221" s="73">
        <v>2.0</v>
      </c>
      <c r="C221" s="69"/>
      <c r="D221" s="157" t="s">
        <v>124</v>
      </c>
      <c r="E221" s="158"/>
      <c r="F221" s="159">
        <v>1.0</v>
      </c>
      <c r="H221" s="72" t="s">
        <v>5</v>
      </c>
      <c r="I221" s="73"/>
      <c r="J221" s="69">
        <v>1.0</v>
      </c>
      <c r="K221" s="157" t="s">
        <v>55</v>
      </c>
      <c r="L221" s="158">
        <v>4.0</v>
      </c>
      <c r="M221" s="159"/>
      <c r="O221" s="135"/>
      <c r="P221" s="136"/>
      <c r="Q221" s="137"/>
      <c r="R221" s="135"/>
      <c r="S221" s="135"/>
      <c r="T221" s="137"/>
      <c r="V221" s="135"/>
      <c r="W221" s="136"/>
      <c r="X221" s="137"/>
      <c r="Y221" s="135"/>
      <c r="Z221" s="135"/>
      <c r="AA221" s="137"/>
      <c r="AC221" s="22"/>
    </row>
    <row r="222" ht="14.25" customHeight="1">
      <c r="A222" s="72" t="s">
        <v>57</v>
      </c>
      <c r="B222" s="73"/>
      <c r="C222" s="76"/>
      <c r="D222" s="157" t="s">
        <v>4</v>
      </c>
      <c r="E222" s="158">
        <v>1.0</v>
      </c>
      <c r="F222" s="159"/>
      <c r="H222" s="72" t="s">
        <v>56</v>
      </c>
      <c r="I222" s="73"/>
      <c r="J222" s="69">
        <v>1.0</v>
      </c>
      <c r="K222" s="157" t="s">
        <v>24</v>
      </c>
      <c r="L222" s="158">
        <v>1.0</v>
      </c>
      <c r="M222" s="159">
        <v>2.0</v>
      </c>
      <c r="O222" s="135"/>
      <c r="P222" s="136"/>
      <c r="Q222" s="137"/>
      <c r="R222" s="135"/>
      <c r="S222" s="135"/>
      <c r="T222" s="137"/>
      <c r="V222" s="135"/>
      <c r="W222" s="136"/>
      <c r="X222" s="137"/>
      <c r="Y222" s="135"/>
      <c r="Z222" s="135"/>
      <c r="AA222" s="137"/>
      <c r="AC222" s="22"/>
    </row>
    <row r="223" ht="14.25" customHeight="1">
      <c r="A223" s="77" t="s">
        <v>7</v>
      </c>
      <c r="B223" s="78"/>
      <c r="C223" s="79"/>
      <c r="D223" s="160" t="s">
        <v>18</v>
      </c>
      <c r="E223" s="161"/>
      <c r="F223" s="162">
        <v>1.0</v>
      </c>
      <c r="H223" s="77" t="s">
        <v>7</v>
      </c>
      <c r="I223" s="78">
        <v>1.0</v>
      </c>
      <c r="J223" s="82"/>
      <c r="K223" s="160" t="s">
        <v>18</v>
      </c>
      <c r="L223" s="161">
        <v>1.0</v>
      </c>
      <c r="M223" s="162"/>
      <c r="O223" s="135"/>
      <c r="P223" s="136"/>
      <c r="Q223" s="137"/>
      <c r="R223" s="135"/>
      <c r="S223" s="135"/>
      <c r="T223" s="137"/>
      <c r="V223" s="135"/>
      <c r="W223" s="136"/>
      <c r="X223" s="137"/>
      <c r="Y223" s="135"/>
      <c r="Z223" s="135"/>
      <c r="AA223" s="137"/>
      <c r="AC223" s="22"/>
    </row>
    <row r="224" ht="14.25" customHeight="1">
      <c r="A224" s="83" t="s">
        <v>72</v>
      </c>
      <c r="B224" s="84" t="s">
        <v>91</v>
      </c>
      <c r="C224" s="3"/>
      <c r="H224" s="83" t="s">
        <v>72</v>
      </c>
      <c r="I224" s="84" t="s">
        <v>119</v>
      </c>
      <c r="J224" s="3"/>
      <c r="O224" s="124"/>
      <c r="V224" s="124"/>
      <c r="AC224" s="22"/>
    </row>
    <row r="225" ht="14.25" customHeight="1">
      <c r="A225" s="83" t="s">
        <v>77</v>
      </c>
      <c r="B225" s="84" t="s">
        <v>41</v>
      </c>
      <c r="C225" s="3"/>
      <c r="D225" s="48"/>
      <c r="E225" s="48"/>
      <c r="F225" s="48"/>
      <c r="H225" s="83" t="s">
        <v>77</v>
      </c>
      <c r="I225" s="84" t="s">
        <v>119</v>
      </c>
      <c r="J225" s="3"/>
      <c r="O225" s="124"/>
      <c r="V225" s="124"/>
      <c r="AC225" s="22"/>
    </row>
    <row r="226" ht="14.2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22"/>
      <c r="X226" s="22"/>
      <c r="AC226" s="22"/>
    </row>
    <row r="227" ht="14.25" customHeight="1">
      <c r="H227" s="90"/>
      <c r="I227" s="90"/>
      <c r="J227" s="90"/>
      <c r="K227" s="91"/>
      <c r="L227" s="91"/>
      <c r="AC227" s="22"/>
    </row>
    <row r="228" ht="14.25" customHeight="1">
      <c r="H228" s="92" t="s">
        <v>3</v>
      </c>
      <c r="I228" s="93"/>
      <c r="J228" s="30"/>
      <c r="K228" s="50">
        <f>A217+D217+H217+K217+O217+R217+V217+Y217</f>
        <v>15</v>
      </c>
      <c r="L228" s="30"/>
      <c r="AC228" s="22"/>
    </row>
    <row r="229" ht="14.25" customHeight="1"/>
    <row r="230" ht="14.25" customHeight="1"/>
    <row r="231" ht="14.25" customHeight="1">
      <c r="P231" s="8">
        <v>44044.0</v>
      </c>
      <c r="Q231" s="2"/>
      <c r="R231" s="2"/>
      <c r="S231" s="3"/>
      <c r="V231" s="52" t="s">
        <v>117</v>
      </c>
    </row>
    <row r="232" ht="14.25" customHeight="1"/>
    <row r="233" ht="14.25" customHeight="1">
      <c r="A233" s="9">
        <v>29.0</v>
      </c>
      <c r="B233" s="10">
        <v>44050.0</v>
      </c>
      <c r="C233" s="2"/>
      <c r="D233" s="2"/>
      <c r="E233" s="2"/>
      <c r="F233" s="3"/>
      <c r="H233" s="9">
        <v>30.0</v>
      </c>
      <c r="I233" s="10" t="s">
        <v>125</v>
      </c>
      <c r="J233" s="2"/>
      <c r="K233" s="2"/>
      <c r="L233" s="2"/>
      <c r="M233" s="3"/>
      <c r="O233" s="9">
        <v>31.0</v>
      </c>
      <c r="P233" s="10">
        <v>44064.0</v>
      </c>
      <c r="Q233" s="2"/>
      <c r="R233" s="2"/>
      <c r="S233" s="2"/>
      <c r="T233" s="3"/>
      <c r="V233" s="9">
        <v>32.0</v>
      </c>
      <c r="W233" s="10">
        <v>44071.0</v>
      </c>
      <c r="X233" s="2"/>
      <c r="Y233" s="2"/>
      <c r="Z233" s="2"/>
      <c r="AA233" s="3"/>
      <c r="AC233" s="51" t="s">
        <v>126</v>
      </c>
      <c r="AD233" s="2"/>
      <c r="AE233" s="2"/>
      <c r="AF233" s="2"/>
      <c r="AG233" s="3"/>
    </row>
    <row r="234" ht="14.25" customHeight="1">
      <c r="A234" s="14">
        <v>10.0</v>
      </c>
      <c r="B234" s="2"/>
      <c r="C234" s="3"/>
      <c r="D234" s="15">
        <v>3.0</v>
      </c>
      <c r="E234" s="2"/>
      <c r="F234" s="3"/>
      <c r="H234" s="14">
        <v>4.0</v>
      </c>
      <c r="I234" s="2"/>
      <c r="J234" s="3"/>
      <c r="K234" s="15">
        <v>4.0</v>
      </c>
      <c r="L234" s="2"/>
      <c r="M234" s="3"/>
      <c r="O234" s="14">
        <v>6.0</v>
      </c>
      <c r="P234" s="2"/>
      <c r="Q234" s="3"/>
      <c r="R234" s="15">
        <v>3.0</v>
      </c>
      <c r="S234" s="2"/>
      <c r="T234" s="3"/>
      <c r="V234" s="14">
        <v>8.0</v>
      </c>
      <c r="W234" s="2"/>
      <c r="X234" s="3"/>
      <c r="Y234" s="15">
        <v>3.0</v>
      </c>
      <c r="Z234" s="2"/>
      <c r="AA234" s="3"/>
      <c r="AC234" s="59"/>
      <c r="AD234" s="59"/>
      <c r="AF234" s="59"/>
      <c r="AG234" s="59"/>
    </row>
    <row r="235" ht="12.0" customHeight="1">
      <c r="A235" s="60"/>
      <c r="B235" s="61" t="s">
        <v>69</v>
      </c>
      <c r="C235" s="62" t="s">
        <v>70</v>
      </c>
      <c r="D235" s="149"/>
      <c r="E235" s="150" t="s">
        <v>69</v>
      </c>
      <c r="F235" s="151" t="s">
        <v>70</v>
      </c>
      <c r="H235" s="66"/>
      <c r="I235" s="61" t="s">
        <v>69</v>
      </c>
      <c r="J235" s="62" t="s">
        <v>70</v>
      </c>
      <c r="K235" s="149"/>
      <c r="L235" s="150" t="s">
        <v>69</v>
      </c>
      <c r="M235" s="151" t="s">
        <v>70</v>
      </c>
      <c r="O235" s="66"/>
      <c r="P235" s="61" t="s">
        <v>69</v>
      </c>
      <c r="Q235" s="62" t="s">
        <v>70</v>
      </c>
      <c r="R235" s="149"/>
      <c r="S235" s="150" t="s">
        <v>69</v>
      </c>
      <c r="T235" s="151" t="s">
        <v>70</v>
      </c>
      <c r="V235" s="66"/>
      <c r="W235" s="61" t="s">
        <v>69</v>
      </c>
      <c r="X235" s="62" t="s">
        <v>70</v>
      </c>
      <c r="Y235" s="149"/>
      <c r="Z235" s="150" t="s">
        <v>69</v>
      </c>
      <c r="AA235" s="151" t="s">
        <v>70</v>
      </c>
      <c r="AC235" s="22">
        <v>7.0</v>
      </c>
      <c r="AD235" s="52" t="s">
        <v>8</v>
      </c>
    </row>
    <row r="236" ht="14.25" customHeight="1">
      <c r="A236" s="67" t="s">
        <v>120</v>
      </c>
      <c r="B236" s="68">
        <v>3.0</v>
      </c>
      <c r="C236" s="69"/>
      <c r="D236" s="154" t="s">
        <v>18</v>
      </c>
      <c r="E236" s="155"/>
      <c r="F236" s="156"/>
      <c r="H236" s="67" t="s">
        <v>18</v>
      </c>
      <c r="I236" s="68"/>
      <c r="J236" s="69"/>
      <c r="K236" s="154" t="s">
        <v>5</v>
      </c>
      <c r="L236" s="155">
        <v>2.0</v>
      </c>
      <c r="M236" s="156">
        <v>1.0</v>
      </c>
      <c r="O236" s="67" t="s">
        <v>18</v>
      </c>
      <c r="P236" s="68"/>
      <c r="Q236" s="69"/>
      <c r="R236" s="154" t="s">
        <v>10</v>
      </c>
      <c r="S236" s="155"/>
      <c r="T236" s="156">
        <v>2.0</v>
      </c>
      <c r="V236" s="67" t="s">
        <v>18</v>
      </c>
      <c r="W236" s="68"/>
      <c r="X236" s="69"/>
      <c r="Y236" s="154" t="s">
        <v>4</v>
      </c>
      <c r="Z236" s="155"/>
      <c r="AA236" s="156"/>
      <c r="AC236" s="22">
        <v>5.0</v>
      </c>
      <c r="AD236" s="52" t="s">
        <v>82</v>
      </c>
    </row>
    <row r="237" ht="14.25" customHeight="1">
      <c r="A237" s="72" t="s">
        <v>6</v>
      </c>
      <c r="B237" s="73">
        <v>2.0</v>
      </c>
      <c r="C237" s="69"/>
      <c r="D237" s="157" t="s">
        <v>11</v>
      </c>
      <c r="E237" s="158">
        <v>1.0</v>
      </c>
      <c r="F237" s="159"/>
      <c r="H237" s="72" t="s">
        <v>54</v>
      </c>
      <c r="I237" s="73">
        <v>3.0</v>
      </c>
      <c r="J237" s="69">
        <v>1.0</v>
      </c>
      <c r="K237" s="157" t="s">
        <v>14</v>
      </c>
      <c r="L237" s="158"/>
      <c r="M237" s="159">
        <v>1.0</v>
      </c>
      <c r="O237" s="72" t="s">
        <v>7</v>
      </c>
      <c r="P237" s="73"/>
      <c r="Q237" s="69"/>
      <c r="R237" s="157" t="s">
        <v>57</v>
      </c>
      <c r="S237" s="158"/>
      <c r="T237" s="159"/>
      <c r="V237" s="72" t="s">
        <v>10</v>
      </c>
      <c r="W237" s="73">
        <v>2.0</v>
      </c>
      <c r="X237" s="69">
        <v>5.0</v>
      </c>
      <c r="Y237" s="157" t="s">
        <v>9</v>
      </c>
      <c r="Z237" s="158">
        <v>1.0</v>
      </c>
      <c r="AA237" s="159"/>
      <c r="AC237" s="22">
        <v>4.0</v>
      </c>
      <c r="AD237" s="52" t="s">
        <v>127</v>
      </c>
    </row>
    <row r="238" ht="14.25" customHeight="1">
      <c r="A238" s="72" t="s">
        <v>54</v>
      </c>
      <c r="B238" s="73">
        <v>1.0</v>
      </c>
      <c r="C238" s="69">
        <v>3.0</v>
      </c>
      <c r="D238" s="157" t="s">
        <v>122</v>
      </c>
      <c r="E238" s="158">
        <v>1.0</v>
      </c>
      <c r="F238" s="159"/>
      <c r="H238" s="72" t="s">
        <v>7</v>
      </c>
      <c r="I238" s="73"/>
      <c r="J238" s="69"/>
      <c r="K238" s="157" t="s">
        <v>24</v>
      </c>
      <c r="L238" s="158">
        <v>1.0</v>
      </c>
      <c r="M238" s="159"/>
      <c r="O238" s="72" t="s">
        <v>4</v>
      </c>
      <c r="P238" s="73">
        <v>2.0</v>
      </c>
      <c r="Q238" s="69"/>
      <c r="R238" s="157" t="s">
        <v>13</v>
      </c>
      <c r="S238" s="158">
        <v>1.0</v>
      </c>
      <c r="T238" s="159"/>
      <c r="V238" s="72" t="s">
        <v>20</v>
      </c>
      <c r="W238" s="73">
        <v>2.0</v>
      </c>
      <c r="X238" s="69"/>
      <c r="Y238" s="157" t="s">
        <v>57</v>
      </c>
      <c r="Z238" s="158"/>
      <c r="AA238" s="159"/>
      <c r="AC238" s="22">
        <v>3.0</v>
      </c>
      <c r="AD238" s="52" t="s">
        <v>128</v>
      </c>
    </row>
    <row r="239" ht="14.25" customHeight="1">
      <c r="A239" s="72" t="s">
        <v>5</v>
      </c>
      <c r="B239" s="73">
        <v>2.0</v>
      </c>
      <c r="C239" s="76">
        <v>3.0</v>
      </c>
      <c r="D239" s="157" t="s">
        <v>129</v>
      </c>
      <c r="E239" s="158"/>
      <c r="F239" s="159">
        <v>1.0</v>
      </c>
      <c r="H239" s="72" t="s">
        <v>17</v>
      </c>
      <c r="I239" s="73">
        <v>1.0</v>
      </c>
      <c r="J239" s="69">
        <v>1.0</v>
      </c>
      <c r="K239" s="157" t="s">
        <v>13</v>
      </c>
      <c r="L239" s="158"/>
      <c r="M239" s="159">
        <v>1.0</v>
      </c>
      <c r="O239" s="72" t="s">
        <v>11</v>
      </c>
      <c r="P239" s="73">
        <v>3.0</v>
      </c>
      <c r="Q239" s="69">
        <v>1.0</v>
      </c>
      <c r="R239" s="157" t="s">
        <v>5</v>
      </c>
      <c r="S239" s="158"/>
      <c r="T239" s="159">
        <v>1.0</v>
      </c>
      <c r="V239" s="72" t="s">
        <v>5</v>
      </c>
      <c r="W239" s="73">
        <v>3.0</v>
      </c>
      <c r="X239" s="69"/>
      <c r="Y239" s="157" t="s">
        <v>7</v>
      </c>
      <c r="Z239" s="158"/>
      <c r="AA239" s="159"/>
      <c r="AC239" s="22">
        <v>2.0</v>
      </c>
      <c r="AD239" s="52" t="s">
        <v>130</v>
      </c>
    </row>
    <row r="240" ht="14.25" customHeight="1">
      <c r="A240" s="77" t="s">
        <v>14</v>
      </c>
      <c r="B240" s="78">
        <v>2.0</v>
      </c>
      <c r="C240" s="79">
        <v>2.0</v>
      </c>
      <c r="D240" s="160" t="s">
        <v>24</v>
      </c>
      <c r="E240" s="161">
        <v>1.0</v>
      </c>
      <c r="F240" s="162"/>
      <c r="H240" s="77" t="s">
        <v>57</v>
      </c>
      <c r="I240" s="78"/>
      <c r="J240" s="82"/>
      <c r="K240" s="160" t="s">
        <v>4</v>
      </c>
      <c r="L240" s="161">
        <v>1.0</v>
      </c>
      <c r="M240" s="162"/>
      <c r="O240" s="77" t="s">
        <v>17</v>
      </c>
      <c r="P240" s="78">
        <v>1.0</v>
      </c>
      <c r="Q240" s="82">
        <v>1.0</v>
      </c>
      <c r="R240" s="160" t="s">
        <v>131</v>
      </c>
      <c r="S240" s="161">
        <v>2.0</v>
      </c>
      <c r="T240" s="162"/>
      <c r="V240" s="77" t="s">
        <v>17</v>
      </c>
      <c r="W240" s="78">
        <v>1.0</v>
      </c>
      <c r="X240" s="82"/>
      <c r="Y240" s="160" t="s">
        <v>14</v>
      </c>
      <c r="Z240" s="161">
        <v>1.0</v>
      </c>
      <c r="AA240" s="162"/>
      <c r="AC240" s="22">
        <v>1.0</v>
      </c>
      <c r="AD240" s="52" t="s">
        <v>132</v>
      </c>
    </row>
    <row r="241" ht="14.25" customHeight="1">
      <c r="A241" s="83" t="s">
        <v>72</v>
      </c>
      <c r="B241" s="84" t="s">
        <v>79</v>
      </c>
      <c r="C241" s="3"/>
      <c r="H241" s="83" t="s">
        <v>72</v>
      </c>
      <c r="I241" s="84" t="s">
        <v>79</v>
      </c>
      <c r="J241" s="3"/>
      <c r="O241" s="83" t="s">
        <v>72</v>
      </c>
      <c r="P241" s="84" t="s">
        <v>41</v>
      </c>
      <c r="Q241" s="3"/>
      <c r="V241" s="163" t="s">
        <v>133</v>
      </c>
      <c r="W241" s="164"/>
      <c r="X241" s="165"/>
      <c r="Y241" s="166" t="s">
        <v>133</v>
      </c>
      <c r="Z241" s="167">
        <v>1.0</v>
      </c>
      <c r="AA241" s="168"/>
      <c r="AC241" s="22">
        <v>1.0</v>
      </c>
      <c r="AD241" s="52" t="s">
        <v>133</v>
      </c>
    </row>
    <row r="242" ht="14.25" customHeight="1">
      <c r="A242" s="83" t="s">
        <v>77</v>
      </c>
      <c r="B242" s="84" t="s">
        <v>86</v>
      </c>
      <c r="C242" s="3"/>
      <c r="D242" s="48"/>
      <c r="E242" s="48"/>
      <c r="F242" s="48"/>
      <c r="H242" s="83" t="s">
        <v>77</v>
      </c>
      <c r="I242" s="84" t="s">
        <v>8</v>
      </c>
      <c r="J242" s="3"/>
      <c r="O242" s="83" t="s">
        <v>77</v>
      </c>
      <c r="P242" s="84" t="s">
        <v>49</v>
      </c>
      <c r="Q242" s="3"/>
      <c r="V242" s="83" t="s">
        <v>72</v>
      </c>
      <c r="W242" s="84" t="s">
        <v>82</v>
      </c>
      <c r="X242" s="3"/>
      <c r="Y242" s="135"/>
      <c r="Z242" s="135"/>
      <c r="AA242" s="137"/>
      <c r="AC242" s="22"/>
    </row>
    <row r="243" ht="14.25" customHeight="1">
      <c r="H243" s="90"/>
      <c r="I243" s="90"/>
      <c r="J243" s="90"/>
      <c r="K243" s="91"/>
      <c r="L243" s="91"/>
      <c r="V243" s="83" t="s">
        <v>77</v>
      </c>
      <c r="W243" s="84" t="s">
        <v>134</v>
      </c>
      <c r="X243" s="3"/>
      <c r="AC243" s="22"/>
    </row>
    <row r="244" ht="14.25" customHeight="1">
      <c r="H244" s="92" t="s">
        <v>3</v>
      </c>
      <c r="I244" s="93"/>
      <c r="J244" s="30"/>
      <c r="K244" s="50">
        <f>A234+D234+H234+K234+O234+R234+V234+Y234+AC234+AF234</f>
        <v>41</v>
      </c>
      <c r="L244" s="30"/>
      <c r="V244" s="124"/>
      <c r="AC244" s="22"/>
    </row>
    <row r="245" ht="14.25" customHeight="1">
      <c r="AC245" s="22"/>
    </row>
    <row r="246" ht="14.25" customHeight="1">
      <c r="AC246" s="22"/>
    </row>
    <row r="247" ht="14.25" customHeight="1">
      <c r="L247" s="4" t="s">
        <v>135</v>
      </c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3"/>
    </row>
    <row r="248" ht="14.25" customHeight="1"/>
    <row r="249" ht="14.25" customHeight="1">
      <c r="P249" s="8">
        <v>44075.0</v>
      </c>
      <c r="Q249" s="2"/>
      <c r="R249" s="2"/>
      <c r="S249" s="3"/>
    </row>
    <row r="250" ht="14.25" customHeight="1"/>
    <row r="251" ht="14.25" customHeight="1">
      <c r="A251" s="9">
        <v>1.0</v>
      </c>
      <c r="B251" s="10">
        <v>44078.0</v>
      </c>
      <c r="C251" s="2"/>
      <c r="D251" s="2"/>
      <c r="E251" s="2"/>
      <c r="F251" s="3"/>
      <c r="H251" s="9">
        <v>2.0</v>
      </c>
      <c r="I251" s="10">
        <v>44085.0</v>
      </c>
      <c r="J251" s="2"/>
      <c r="K251" s="2"/>
      <c r="L251" s="2"/>
      <c r="M251" s="3"/>
      <c r="O251" s="9">
        <v>3.0</v>
      </c>
      <c r="P251" s="10">
        <v>44092.0</v>
      </c>
      <c r="Q251" s="2"/>
      <c r="R251" s="2"/>
      <c r="S251" s="2"/>
      <c r="T251" s="3"/>
      <c r="V251" s="9">
        <v>4.0</v>
      </c>
      <c r="W251" s="10">
        <v>44099.0</v>
      </c>
      <c r="X251" s="2"/>
      <c r="Y251" s="2"/>
      <c r="Z251" s="2"/>
      <c r="AA251" s="3"/>
      <c r="AC251" s="51" t="s">
        <v>136</v>
      </c>
      <c r="AD251" s="2"/>
      <c r="AE251" s="2"/>
      <c r="AF251" s="2"/>
      <c r="AG251" s="3"/>
    </row>
    <row r="252" ht="14.25" customHeight="1">
      <c r="A252" s="14">
        <v>4.0</v>
      </c>
      <c r="B252" s="2"/>
      <c r="C252" s="3"/>
      <c r="D252" s="15">
        <v>2.0</v>
      </c>
      <c r="E252" s="2"/>
      <c r="F252" s="3"/>
      <c r="H252" s="14">
        <v>6.0</v>
      </c>
      <c r="I252" s="2"/>
      <c r="J252" s="3"/>
      <c r="K252" s="15">
        <v>6.0</v>
      </c>
      <c r="L252" s="2"/>
      <c r="M252" s="3"/>
      <c r="O252" s="14">
        <v>7.0</v>
      </c>
      <c r="P252" s="2"/>
      <c r="Q252" s="3"/>
      <c r="R252" s="15">
        <v>6.0</v>
      </c>
      <c r="S252" s="2"/>
      <c r="T252" s="3"/>
      <c r="V252" s="14">
        <v>5.0</v>
      </c>
      <c r="W252" s="2"/>
      <c r="X252" s="3"/>
      <c r="Y252" s="15">
        <v>7.0</v>
      </c>
      <c r="Z252" s="2"/>
      <c r="AA252" s="3"/>
      <c r="AC252" s="59"/>
      <c r="AD252" s="59"/>
      <c r="AF252" s="59"/>
      <c r="AG252" s="59"/>
    </row>
    <row r="253" ht="12.0" customHeight="1">
      <c r="A253" s="60"/>
      <c r="B253" s="61" t="s">
        <v>69</v>
      </c>
      <c r="C253" s="62" t="s">
        <v>70</v>
      </c>
      <c r="D253" s="63"/>
      <c r="E253" s="64" t="s">
        <v>69</v>
      </c>
      <c r="F253" s="65" t="s">
        <v>70</v>
      </c>
      <c r="H253" s="66"/>
      <c r="I253" s="61" t="s">
        <v>69</v>
      </c>
      <c r="J253" s="62" t="s">
        <v>70</v>
      </c>
      <c r="K253" s="63"/>
      <c r="L253" s="64" t="s">
        <v>69</v>
      </c>
      <c r="M253" s="65" t="s">
        <v>70</v>
      </c>
      <c r="O253" s="66"/>
      <c r="P253" s="61" t="s">
        <v>69</v>
      </c>
      <c r="Q253" s="62" t="s">
        <v>70</v>
      </c>
      <c r="R253" s="63"/>
      <c r="S253" s="64" t="s">
        <v>69</v>
      </c>
      <c r="T253" s="65" t="s">
        <v>70</v>
      </c>
      <c r="V253" s="66"/>
      <c r="W253" s="61" t="s">
        <v>69</v>
      </c>
      <c r="X253" s="62" t="s">
        <v>70</v>
      </c>
      <c r="Y253" s="63"/>
      <c r="Z253" s="64" t="s">
        <v>69</v>
      </c>
      <c r="AA253" s="65" t="s">
        <v>70</v>
      </c>
      <c r="AC253" s="22">
        <v>9.0</v>
      </c>
      <c r="AD253" s="52" t="s">
        <v>8</v>
      </c>
    </row>
    <row r="254" ht="14.25" customHeight="1">
      <c r="A254" s="67" t="s">
        <v>10</v>
      </c>
      <c r="B254" s="68">
        <v>2.0</v>
      </c>
      <c r="C254" s="69"/>
      <c r="D254" s="169" t="s">
        <v>18</v>
      </c>
      <c r="E254" s="21">
        <v>1.0</v>
      </c>
      <c r="F254" s="71"/>
      <c r="H254" s="67" t="s">
        <v>10</v>
      </c>
      <c r="I254" s="68"/>
      <c r="J254" s="69">
        <v>3.0</v>
      </c>
      <c r="K254" s="169" t="s">
        <v>131</v>
      </c>
      <c r="L254" s="70"/>
      <c r="M254" s="71"/>
      <c r="O254" s="67" t="s">
        <v>120</v>
      </c>
      <c r="P254" s="68">
        <v>2.0</v>
      </c>
      <c r="Q254" s="69">
        <v>1.0</v>
      </c>
      <c r="R254" s="169" t="s">
        <v>11</v>
      </c>
      <c r="S254" s="21">
        <v>3.0</v>
      </c>
      <c r="T254" s="71"/>
      <c r="V254" s="67" t="s">
        <v>11</v>
      </c>
      <c r="W254" s="68">
        <v>2.0</v>
      </c>
      <c r="X254" s="69"/>
      <c r="Y254" s="169" t="s">
        <v>120</v>
      </c>
      <c r="Z254" s="21">
        <v>2.0</v>
      </c>
      <c r="AA254" s="71">
        <v>3.0</v>
      </c>
      <c r="AC254" s="22">
        <v>7.0</v>
      </c>
      <c r="AD254" s="52" t="s">
        <v>41</v>
      </c>
    </row>
    <row r="255" ht="14.25" customHeight="1">
      <c r="A255" s="72" t="s">
        <v>9</v>
      </c>
      <c r="B255" s="73"/>
      <c r="C255" s="69">
        <v>1.0</v>
      </c>
      <c r="D255" s="170" t="s">
        <v>7</v>
      </c>
      <c r="E255" s="28"/>
      <c r="F255" s="75">
        <v>1.0</v>
      </c>
      <c r="H255" s="72" t="s">
        <v>18</v>
      </c>
      <c r="I255" s="73"/>
      <c r="J255" s="69"/>
      <c r="K255" s="170" t="s">
        <v>11</v>
      </c>
      <c r="L255" s="28">
        <v>2.0</v>
      </c>
      <c r="M255" s="75"/>
      <c r="O255" s="72" t="s">
        <v>18</v>
      </c>
      <c r="P255" s="73"/>
      <c r="Q255" s="69"/>
      <c r="R255" s="170" t="s">
        <v>4</v>
      </c>
      <c r="S255" s="28"/>
      <c r="T255" s="75"/>
      <c r="V255" s="72" t="s">
        <v>56</v>
      </c>
      <c r="W255" s="73"/>
      <c r="X255" s="69"/>
      <c r="Y255" s="170" t="s">
        <v>20</v>
      </c>
      <c r="Z255" s="28">
        <v>1.0</v>
      </c>
      <c r="AA255" s="75"/>
      <c r="AC255" s="22">
        <v>6.0</v>
      </c>
      <c r="AD255" s="52" t="s">
        <v>82</v>
      </c>
    </row>
    <row r="256" ht="14.25" customHeight="1">
      <c r="A256" s="72" t="s">
        <v>14</v>
      </c>
      <c r="B256" s="73">
        <v>2.0</v>
      </c>
      <c r="C256" s="69"/>
      <c r="D256" s="170" t="s">
        <v>121</v>
      </c>
      <c r="E256" s="28">
        <v>1.0</v>
      </c>
      <c r="F256" s="75"/>
      <c r="H256" s="72" t="s">
        <v>20</v>
      </c>
      <c r="I256" s="73"/>
      <c r="J256" s="69"/>
      <c r="K256" s="170" t="s">
        <v>4</v>
      </c>
      <c r="L256" s="28"/>
      <c r="M256" s="75">
        <v>1.0</v>
      </c>
      <c r="O256" s="72" t="s">
        <v>17</v>
      </c>
      <c r="P256" s="73">
        <v>1.0</v>
      </c>
      <c r="Q256" s="69">
        <v>2.0</v>
      </c>
      <c r="R256" s="170" t="s">
        <v>7</v>
      </c>
      <c r="S256" s="28"/>
      <c r="T256" s="75"/>
      <c r="V256" s="72" t="s">
        <v>137</v>
      </c>
      <c r="W256" s="73"/>
      <c r="X256" s="69">
        <v>1.0</v>
      </c>
      <c r="Y256" s="170" t="s">
        <v>5</v>
      </c>
      <c r="Z256" s="28">
        <v>3.0</v>
      </c>
      <c r="AA256" s="75">
        <v>1.0</v>
      </c>
      <c r="AC256" s="22">
        <v>5.0</v>
      </c>
      <c r="AD256" s="52" t="s">
        <v>84</v>
      </c>
    </row>
    <row r="257" ht="14.25" customHeight="1">
      <c r="A257" s="72" t="s">
        <v>24</v>
      </c>
      <c r="B257" s="73"/>
      <c r="C257" s="69"/>
      <c r="D257" s="170" t="s">
        <v>17</v>
      </c>
      <c r="E257" s="74"/>
      <c r="F257" s="75"/>
      <c r="H257" s="72" t="s">
        <v>17</v>
      </c>
      <c r="I257" s="73">
        <v>2.0</v>
      </c>
      <c r="J257" s="69">
        <v>1.0</v>
      </c>
      <c r="K257" s="170" t="s">
        <v>7</v>
      </c>
      <c r="L257" s="28"/>
      <c r="M257" s="75"/>
      <c r="O257" s="72" t="s">
        <v>138</v>
      </c>
      <c r="P257" s="73">
        <v>2.0</v>
      </c>
      <c r="Q257" s="69"/>
      <c r="R257" s="170" t="s">
        <v>139</v>
      </c>
      <c r="S257" s="28"/>
      <c r="T257" s="75"/>
      <c r="V257" s="72" t="s">
        <v>140</v>
      </c>
      <c r="W257" s="73"/>
      <c r="X257" s="69"/>
      <c r="Y257" s="170" t="s">
        <v>121</v>
      </c>
      <c r="Z257" s="28"/>
      <c r="AA257" s="75">
        <v>2.0</v>
      </c>
      <c r="AC257" s="22">
        <v>3.0</v>
      </c>
      <c r="AD257" s="52" t="s">
        <v>141</v>
      </c>
    </row>
    <row r="258" ht="14.25" customHeight="1">
      <c r="A258" s="77" t="s">
        <v>57</v>
      </c>
      <c r="B258" s="78"/>
      <c r="C258" s="82">
        <v>1.0</v>
      </c>
      <c r="D258" s="166" t="s">
        <v>5</v>
      </c>
      <c r="E258" s="80"/>
      <c r="F258" s="81"/>
      <c r="H258" s="77" t="s">
        <v>5</v>
      </c>
      <c r="I258" s="78">
        <v>4.0</v>
      </c>
      <c r="J258" s="82">
        <v>1.0</v>
      </c>
      <c r="K258" s="166" t="s">
        <v>57</v>
      </c>
      <c r="L258" s="34">
        <v>4.0</v>
      </c>
      <c r="M258" s="81"/>
      <c r="O258" s="72" t="s">
        <v>5</v>
      </c>
      <c r="P258" s="73">
        <v>2.0</v>
      </c>
      <c r="Q258" s="69"/>
      <c r="R258" s="166" t="s">
        <v>57</v>
      </c>
      <c r="S258" s="34">
        <v>1.0</v>
      </c>
      <c r="T258" s="81"/>
      <c r="V258" s="77" t="s">
        <v>142</v>
      </c>
      <c r="W258" s="78">
        <v>3.0</v>
      </c>
      <c r="X258" s="82"/>
      <c r="Y258" s="166" t="s">
        <v>18</v>
      </c>
      <c r="Z258" s="34">
        <v>1.0</v>
      </c>
      <c r="AA258" s="81"/>
      <c r="AC258" s="22">
        <v>2.0</v>
      </c>
      <c r="AD258" s="52" t="s">
        <v>143</v>
      </c>
    </row>
    <row r="259" ht="14.25" customHeight="1">
      <c r="A259" s="83" t="s">
        <v>72</v>
      </c>
      <c r="B259" s="84" t="s">
        <v>86</v>
      </c>
      <c r="C259" s="3"/>
      <c r="H259" s="83" t="s">
        <v>72</v>
      </c>
      <c r="I259" s="84" t="s">
        <v>41</v>
      </c>
      <c r="J259" s="3"/>
      <c r="O259" s="171"/>
      <c r="P259" s="171"/>
      <c r="Q259" s="171"/>
      <c r="R259" s="167" t="s">
        <v>144</v>
      </c>
      <c r="S259" s="167">
        <v>1.0</v>
      </c>
      <c r="T259" s="168"/>
      <c r="V259" s="83" t="s">
        <v>72</v>
      </c>
      <c r="W259" s="84" t="s">
        <v>75</v>
      </c>
      <c r="X259" s="3"/>
      <c r="AC259" s="22">
        <v>1.0</v>
      </c>
      <c r="AD259" s="52" t="s">
        <v>145</v>
      </c>
    </row>
    <row r="260" ht="14.25" customHeight="1">
      <c r="A260" s="83" t="s">
        <v>77</v>
      </c>
      <c r="B260" s="84" t="s">
        <v>146</v>
      </c>
      <c r="C260" s="3"/>
      <c r="D260" s="48"/>
      <c r="E260" s="48"/>
      <c r="F260" s="48"/>
      <c r="H260" s="83" t="s">
        <v>77</v>
      </c>
      <c r="I260" s="84" t="s">
        <v>41</v>
      </c>
      <c r="J260" s="3"/>
      <c r="O260" s="172"/>
      <c r="P260" s="172"/>
      <c r="Q260" s="172"/>
      <c r="R260" s="34" t="s">
        <v>147</v>
      </c>
      <c r="S260" s="167">
        <v>1.0</v>
      </c>
      <c r="T260" s="168"/>
      <c r="V260" s="83" t="s">
        <v>77</v>
      </c>
      <c r="W260" s="84" t="s">
        <v>75</v>
      </c>
      <c r="X260" s="3"/>
      <c r="AC260" s="22">
        <v>1.0</v>
      </c>
      <c r="AD260" s="52" t="s">
        <v>148</v>
      </c>
    </row>
    <row r="261" ht="14.25" customHeight="1">
      <c r="O261" s="130" t="s">
        <v>72</v>
      </c>
      <c r="P261" s="32" t="s">
        <v>75</v>
      </c>
      <c r="Q261" s="33"/>
      <c r="AC261" s="22"/>
    </row>
    <row r="262" ht="14.25" customHeight="1">
      <c r="O262" s="83" t="s">
        <v>77</v>
      </c>
      <c r="P262" s="84" t="s">
        <v>75</v>
      </c>
      <c r="Q262" s="3"/>
      <c r="AC262" s="22"/>
    </row>
    <row r="263" ht="14.25" customHeight="1">
      <c r="H263" s="90"/>
      <c r="I263" s="90"/>
      <c r="J263" s="90"/>
      <c r="K263" s="91"/>
      <c r="L263" s="91"/>
      <c r="AC263" s="22"/>
    </row>
    <row r="264" ht="14.25" customHeight="1">
      <c r="H264" s="92" t="s">
        <v>3</v>
      </c>
      <c r="I264" s="93"/>
      <c r="J264" s="30"/>
      <c r="K264" s="50">
        <f>A252+D252+H252+K252+O252+R252+V252+Y252+AC252+AF252</f>
        <v>43</v>
      </c>
      <c r="L264" s="30"/>
      <c r="AC264" s="22"/>
    </row>
    <row r="265" ht="14.25" customHeight="1">
      <c r="AC265" s="22"/>
    </row>
    <row r="266" ht="14.25" customHeight="1">
      <c r="P266" s="8">
        <v>44105.0</v>
      </c>
      <c r="Q266" s="2"/>
      <c r="R266" s="2"/>
      <c r="S266" s="3"/>
      <c r="AC266" s="22"/>
    </row>
    <row r="267" ht="14.25" customHeight="1"/>
    <row r="268" ht="14.25" customHeight="1">
      <c r="A268" s="9">
        <v>5.0</v>
      </c>
      <c r="B268" s="10">
        <v>44106.0</v>
      </c>
      <c r="C268" s="2"/>
      <c r="D268" s="2"/>
      <c r="E268" s="2"/>
      <c r="F268" s="3"/>
      <c r="H268" s="9">
        <v>6.0</v>
      </c>
      <c r="I268" s="10">
        <v>44113.0</v>
      </c>
      <c r="J268" s="2"/>
      <c r="K268" s="2"/>
      <c r="L268" s="2"/>
      <c r="M268" s="3"/>
      <c r="O268" s="144"/>
      <c r="P268" s="173" t="s">
        <v>149</v>
      </c>
      <c r="Q268" s="2"/>
      <c r="R268" s="2"/>
      <c r="S268" s="2"/>
      <c r="T268" s="2"/>
      <c r="U268" s="2"/>
      <c r="V268" s="3"/>
      <c r="W268" s="174"/>
      <c r="AC268" s="144"/>
      <c r="AD268" s="175"/>
    </row>
    <row r="269" ht="14.25" customHeight="1">
      <c r="A269" s="14">
        <v>7.0</v>
      </c>
      <c r="B269" s="2"/>
      <c r="C269" s="3"/>
      <c r="D269" s="15">
        <v>5.0</v>
      </c>
      <c r="E269" s="2"/>
      <c r="F269" s="3"/>
      <c r="H269" s="14">
        <v>1.0</v>
      </c>
      <c r="I269" s="2"/>
      <c r="J269" s="3"/>
      <c r="K269" s="15">
        <v>3.0</v>
      </c>
      <c r="L269" s="2"/>
      <c r="M269" s="3"/>
      <c r="O269" s="152"/>
      <c r="R269" s="176"/>
      <c r="V269" s="152"/>
      <c r="Y269" s="176"/>
      <c r="AC269" s="152"/>
      <c r="AF269" s="176"/>
    </row>
    <row r="270" ht="12.0" customHeight="1">
      <c r="A270" s="66"/>
      <c r="B270" s="61" t="s">
        <v>69</v>
      </c>
      <c r="C270" s="62" t="s">
        <v>70</v>
      </c>
      <c r="D270" s="63"/>
      <c r="E270" s="64" t="s">
        <v>69</v>
      </c>
      <c r="F270" s="65" t="s">
        <v>70</v>
      </c>
      <c r="H270" s="66"/>
      <c r="I270" s="61" t="s">
        <v>69</v>
      </c>
      <c r="J270" s="62" t="s">
        <v>70</v>
      </c>
      <c r="K270" s="177"/>
      <c r="L270" s="64" t="s">
        <v>69</v>
      </c>
      <c r="M270" s="65" t="s">
        <v>70</v>
      </c>
      <c r="O270" s="152"/>
      <c r="P270" s="22">
        <v>3.0</v>
      </c>
      <c r="Q270" s="52" t="s">
        <v>79</v>
      </c>
      <c r="V270" s="152"/>
      <c r="W270" s="153"/>
      <c r="X270" s="153"/>
      <c r="Y270" s="152"/>
      <c r="Z270" s="178"/>
      <c r="AA270" s="178"/>
      <c r="AC270" s="152"/>
      <c r="AD270" s="153"/>
      <c r="AE270" s="153"/>
      <c r="AF270" s="152"/>
      <c r="AG270" s="178"/>
      <c r="AH270" s="178"/>
    </row>
    <row r="271" ht="14.25" customHeight="1">
      <c r="A271" s="67" t="s">
        <v>9</v>
      </c>
      <c r="B271" s="68"/>
      <c r="C271" s="69">
        <v>3.0</v>
      </c>
      <c r="D271" s="169" t="s">
        <v>10</v>
      </c>
      <c r="E271" s="21">
        <v>1.0</v>
      </c>
      <c r="F271" s="71">
        <v>1.0</v>
      </c>
      <c r="H271" s="67" t="s">
        <v>6</v>
      </c>
      <c r="I271" s="68"/>
      <c r="J271" s="69"/>
      <c r="K271" s="169" t="s">
        <v>9</v>
      </c>
      <c r="L271" s="21"/>
      <c r="M271" s="179">
        <v>2.0</v>
      </c>
      <c r="O271" s="135"/>
      <c r="P271" s="22">
        <v>2.0</v>
      </c>
      <c r="Q271" s="52" t="s">
        <v>150</v>
      </c>
      <c r="V271" s="135"/>
      <c r="W271" s="180"/>
      <c r="X271" s="137"/>
      <c r="Y271" s="55" t="s">
        <v>3</v>
      </c>
      <c r="Z271" s="3"/>
      <c r="AA271" s="124"/>
      <c r="AC271" s="135"/>
      <c r="AD271" s="180"/>
      <c r="AE271" s="137"/>
      <c r="AF271" s="124"/>
      <c r="AG271" s="124"/>
      <c r="AH271" s="124"/>
    </row>
    <row r="272" ht="14.25" customHeight="1">
      <c r="A272" s="72" t="s">
        <v>17</v>
      </c>
      <c r="B272" s="73">
        <v>1.0</v>
      </c>
      <c r="C272" s="69"/>
      <c r="D272" s="28" t="s">
        <v>5</v>
      </c>
      <c r="E272" s="28">
        <v>1.0</v>
      </c>
      <c r="F272" s="75">
        <v>2.0</v>
      </c>
      <c r="H272" s="72" t="s">
        <v>151</v>
      </c>
      <c r="I272" s="73"/>
      <c r="J272" s="69"/>
      <c r="K272" s="28" t="s">
        <v>18</v>
      </c>
      <c r="L272" s="28"/>
      <c r="M272" s="75"/>
      <c r="O272" s="135"/>
      <c r="P272" s="22">
        <v>1.0</v>
      </c>
      <c r="Q272" s="52" t="s">
        <v>152</v>
      </c>
      <c r="V272" s="135"/>
      <c r="W272" s="180"/>
      <c r="X272" s="134"/>
      <c r="Y272" s="50">
        <f>A269+D269+H269+K269</f>
        <v>16</v>
      </c>
      <c r="Z272" s="30"/>
      <c r="AA272" s="181"/>
      <c r="AC272" s="135"/>
      <c r="AD272" s="180"/>
      <c r="AE272" s="134"/>
      <c r="AF272" s="124"/>
      <c r="AG272" s="124"/>
      <c r="AH272" s="181"/>
    </row>
    <row r="273" ht="14.25" customHeight="1">
      <c r="A273" s="72" t="s">
        <v>54</v>
      </c>
      <c r="B273" s="73">
        <v>3.0</v>
      </c>
      <c r="C273" s="69"/>
      <c r="D273" s="170" t="s">
        <v>121</v>
      </c>
      <c r="E273" s="28">
        <v>2.0</v>
      </c>
      <c r="F273" s="75">
        <v>1.0</v>
      </c>
      <c r="H273" s="72" t="s">
        <v>20</v>
      </c>
      <c r="I273" s="116"/>
      <c r="J273" s="69">
        <v>1.0</v>
      </c>
      <c r="K273" s="170" t="s">
        <v>153</v>
      </c>
      <c r="L273" s="28">
        <v>1.0</v>
      </c>
      <c r="M273" s="75"/>
      <c r="O273" s="135"/>
      <c r="P273" s="22"/>
      <c r="Q273" s="52" t="s">
        <v>154</v>
      </c>
      <c r="V273" s="135"/>
      <c r="W273" s="180"/>
      <c r="X273" s="137"/>
      <c r="Y273" s="124"/>
      <c r="Z273" s="124"/>
      <c r="AA273" s="181"/>
      <c r="AC273" s="135"/>
      <c r="AD273" s="180"/>
      <c r="AE273" s="137"/>
      <c r="AF273" s="124"/>
      <c r="AG273" s="124"/>
      <c r="AH273" s="181"/>
    </row>
    <row r="274" ht="14.25" customHeight="1">
      <c r="A274" s="72" t="s">
        <v>6</v>
      </c>
      <c r="B274" s="73">
        <v>1.0</v>
      </c>
      <c r="C274" s="69"/>
      <c r="D274" s="170" t="s">
        <v>20</v>
      </c>
      <c r="E274" s="28"/>
      <c r="F274" s="75"/>
      <c r="H274" s="72" t="s">
        <v>56</v>
      </c>
      <c r="I274" s="73">
        <v>1.0</v>
      </c>
      <c r="J274" s="69"/>
      <c r="K274" s="170" t="s">
        <v>5</v>
      </c>
      <c r="L274" s="28">
        <v>1.0</v>
      </c>
      <c r="M274" s="75">
        <v>1.0</v>
      </c>
      <c r="O274" s="135"/>
      <c r="P274" s="22"/>
      <c r="Q274" s="52" t="s">
        <v>155</v>
      </c>
      <c r="V274" s="135"/>
      <c r="W274" s="180"/>
      <c r="X274" s="137"/>
      <c r="Y274" s="124"/>
      <c r="Z274" s="124"/>
      <c r="AA274" s="181"/>
      <c r="AC274" s="135"/>
      <c r="AD274" s="180"/>
      <c r="AE274" s="137"/>
      <c r="AF274" s="124"/>
      <c r="AG274" s="124"/>
      <c r="AH274" s="181"/>
    </row>
    <row r="275" ht="14.25" customHeight="1">
      <c r="A275" s="77" t="s">
        <v>13</v>
      </c>
      <c r="B275" s="78">
        <v>2.0</v>
      </c>
      <c r="C275" s="82"/>
      <c r="D275" s="166" t="s">
        <v>18</v>
      </c>
      <c r="E275" s="34">
        <v>1.0</v>
      </c>
      <c r="F275" s="81"/>
      <c r="H275" s="77" t="s">
        <v>10</v>
      </c>
      <c r="I275" s="78"/>
      <c r="J275" s="82"/>
      <c r="K275" s="34" t="s">
        <v>24</v>
      </c>
      <c r="L275" s="34">
        <v>1.0</v>
      </c>
      <c r="M275" s="81"/>
      <c r="O275" s="135"/>
      <c r="P275" s="180"/>
      <c r="Q275" s="137"/>
      <c r="R275" s="124"/>
      <c r="S275" s="124"/>
      <c r="T275" s="181"/>
      <c r="V275" s="135"/>
      <c r="W275" s="180"/>
      <c r="X275" s="134"/>
      <c r="Y275" s="124"/>
      <c r="Z275" s="124"/>
      <c r="AA275" s="181"/>
      <c r="AC275" s="135"/>
      <c r="AD275" s="180"/>
      <c r="AE275" s="134"/>
      <c r="AF275" s="124"/>
      <c r="AG275" s="124"/>
      <c r="AH275" s="181"/>
    </row>
    <row r="276" ht="14.25" customHeight="1">
      <c r="A276" s="124"/>
      <c r="D276" s="22"/>
      <c r="E276" s="22"/>
      <c r="F276" s="124"/>
      <c r="H276" s="124"/>
      <c r="K276" s="22"/>
      <c r="L276" s="22"/>
      <c r="M276" s="124"/>
      <c r="O276" s="124"/>
      <c r="R276" s="22"/>
      <c r="S276" s="22"/>
      <c r="T276" s="22"/>
      <c r="V276" s="124"/>
      <c r="Y276" s="134"/>
      <c r="Z276" s="135"/>
      <c r="AA276" s="135"/>
      <c r="AC276" s="124"/>
      <c r="AF276" s="22"/>
      <c r="AG276" s="22"/>
      <c r="AH276" s="124"/>
    </row>
    <row r="277" ht="14.25" customHeight="1">
      <c r="A277" s="124"/>
      <c r="B277" s="22"/>
      <c r="C277" s="22"/>
      <c r="D277" s="22"/>
      <c r="E277" s="22"/>
      <c r="F277" s="124"/>
      <c r="H277" s="124"/>
      <c r="I277" s="22"/>
      <c r="J277" s="22"/>
      <c r="K277" s="22"/>
      <c r="L277" s="22"/>
      <c r="M277" s="124"/>
      <c r="AF277" s="131"/>
      <c r="AG277" s="131"/>
      <c r="AH277" s="124"/>
    </row>
    <row r="278" ht="14.25" customHeight="1"/>
    <row r="279" ht="14.25" customHeight="1">
      <c r="P279" s="8">
        <v>44287.0</v>
      </c>
      <c r="Q279" s="2"/>
      <c r="R279" s="2"/>
      <c r="S279" s="3"/>
    </row>
    <row r="280" ht="14.25" customHeight="1"/>
    <row r="281" ht="14.25" customHeight="1">
      <c r="A281" s="9">
        <v>7.0</v>
      </c>
      <c r="B281" s="10">
        <v>44315.0</v>
      </c>
      <c r="C281" s="2"/>
      <c r="D281" s="2"/>
      <c r="E281" s="2"/>
      <c r="F281" s="3"/>
      <c r="I281" s="51" t="s">
        <v>156</v>
      </c>
      <c r="J281" s="2"/>
      <c r="K281" s="2"/>
      <c r="L281" s="2"/>
      <c r="M281" s="2"/>
      <c r="N281" s="2"/>
      <c r="O281" s="3"/>
    </row>
    <row r="282" ht="14.25" customHeight="1">
      <c r="A282" s="14">
        <v>4.0</v>
      </c>
      <c r="B282" s="2"/>
      <c r="C282" s="3"/>
      <c r="D282" s="15">
        <v>4.0</v>
      </c>
      <c r="E282" s="2"/>
      <c r="F282" s="3"/>
    </row>
    <row r="283" ht="12.0" customHeight="1">
      <c r="A283" s="66"/>
      <c r="B283" s="61" t="s">
        <v>69</v>
      </c>
      <c r="C283" s="62" t="s">
        <v>70</v>
      </c>
      <c r="D283" s="177"/>
      <c r="E283" s="64" t="s">
        <v>69</v>
      </c>
      <c r="F283" s="65" t="s">
        <v>70</v>
      </c>
      <c r="I283" s="22">
        <v>2.0</v>
      </c>
      <c r="J283" s="52" t="s">
        <v>61</v>
      </c>
    </row>
    <row r="284" ht="14.25" customHeight="1">
      <c r="A284" s="67" t="s">
        <v>11</v>
      </c>
      <c r="B284" s="68">
        <v>1.0</v>
      </c>
      <c r="C284" s="69"/>
      <c r="D284" s="169" t="s">
        <v>10</v>
      </c>
      <c r="E284" s="21">
        <v>1.0</v>
      </c>
      <c r="F284" s="179">
        <v>1.0</v>
      </c>
      <c r="I284" s="22">
        <v>1.0</v>
      </c>
      <c r="J284" s="52" t="s">
        <v>157</v>
      </c>
    </row>
    <row r="285" ht="14.25" customHeight="1">
      <c r="A285" s="72" t="s">
        <v>14</v>
      </c>
      <c r="B285" s="73">
        <v>1.0</v>
      </c>
      <c r="C285" s="69">
        <v>1.0</v>
      </c>
      <c r="D285" s="28" t="s">
        <v>7</v>
      </c>
      <c r="E285" s="28"/>
      <c r="F285" s="75"/>
      <c r="J285" s="52" t="s">
        <v>158</v>
      </c>
    </row>
    <row r="286" ht="14.25" customHeight="1">
      <c r="A286" s="72" t="s">
        <v>57</v>
      </c>
      <c r="B286" s="73">
        <v>1.0</v>
      </c>
      <c r="C286" s="69"/>
      <c r="D286" s="170" t="s">
        <v>20</v>
      </c>
      <c r="E286" s="28"/>
      <c r="F286" s="75">
        <v>1.0</v>
      </c>
    </row>
    <row r="287" ht="14.25" customHeight="1">
      <c r="A287" s="72" t="s">
        <v>4</v>
      </c>
      <c r="B287" s="73">
        <v>1.0</v>
      </c>
      <c r="C287" s="69"/>
      <c r="D287" s="170" t="s">
        <v>5</v>
      </c>
      <c r="E287" s="28">
        <v>1.0</v>
      </c>
      <c r="F287" s="75">
        <v>1.0</v>
      </c>
      <c r="I287" s="90"/>
      <c r="J287" s="90"/>
      <c r="K287" s="90"/>
      <c r="L287" s="90"/>
      <c r="M287" s="90"/>
    </row>
    <row r="288" ht="14.25" customHeight="1">
      <c r="A288" s="77" t="s">
        <v>13</v>
      </c>
      <c r="B288" s="78"/>
      <c r="C288" s="82">
        <v>1.0</v>
      </c>
      <c r="D288" s="34" t="s">
        <v>17</v>
      </c>
      <c r="E288" s="34">
        <v>2.0</v>
      </c>
      <c r="F288" s="81">
        <v>1.0</v>
      </c>
      <c r="I288" s="92" t="s">
        <v>3</v>
      </c>
      <c r="J288" s="93"/>
      <c r="K288" s="30"/>
      <c r="L288" s="50">
        <f>A282+D282</f>
        <v>8</v>
      </c>
      <c r="M288" s="30"/>
      <c r="N288" s="182"/>
      <c r="O288" s="182"/>
      <c r="U288" s="183"/>
      <c r="V288" s="183"/>
    </row>
    <row r="289" ht="14.25" customHeight="1"/>
    <row r="290" ht="14.25" customHeight="1"/>
    <row r="291" ht="14.25" customHeight="1">
      <c r="P291" s="8">
        <v>44317.0</v>
      </c>
      <c r="Q291" s="2"/>
      <c r="R291" s="2"/>
      <c r="S291" s="3"/>
    </row>
    <row r="292" ht="14.25" customHeight="1"/>
    <row r="293" ht="14.25" customHeight="1">
      <c r="A293" s="9">
        <v>8.0</v>
      </c>
      <c r="B293" s="10">
        <v>44322.0</v>
      </c>
      <c r="C293" s="2"/>
      <c r="D293" s="2"/>
      <c r="E293" s="2"/>
      <c r="F293" s="3"/>
      <c r="H293" s="9">
        <v>9.0</v>
      </c>
      <c r="I293" s="10">
        <v>44329.0</v>
      </c>
      <c r="J293" s="2"/>
      <c r="K293" s="2"/>
      <c r="L293" s="2"/>
      <c r="M293" s="3"/>
      <c r="O293" s="9">
        <v>10.0</v>
      </c>
      <c r="P293" s="10">
        <v>44336.0</v>
      </c>
      <c r="Q293" s="2"/>
      <c r="R293" s="2"/>
      <c r="S293" s="2"/>
      <c r="T293" s="3"/>
      <c r="V293" s="9">
        <v>11.0</v>
      </c>
      <c r="W293" s="10">
        <v>44343.0</v>
      </c>
      <c r="X293" s="2"/>
      <c r="Y293" s="2"/>
      <c r="Z293" s="2"/>
      <c r="AA293" s="3"/>
      <c r="AC293" s="51" t="s">
        <v>159</v>
      </c>
      <c r="AD293" s="2"/>
      <c r="AE293" s="2"/>
      <c r="AF293" s="2"/>
      <c r="AG293" s="3"/>
    </row>
    <row r="294" ht="14.25" customHeight="1">
      <c r="A294" s="14">
        <v>3.0</v>
      </c>
      <c r="B294" s="2"/>
      <c r="C294" s="3"/>
      <c r="D294" s="15">
        <v>2.0</v>
      </c>
      <c r="E294" s="2"/>
      <c r="F294" s="3"/>
      <c r="H294" s="14">
        <v>3.0</v>
      </c>
      <c r="I294" s="2"/>
      <c r="J294" s="3"/>
      <c r="K294" s="15">
        <v>4.0</v>
      </c>
      <c r="L294" s="2"/>
      <c r="M294" s="3"/>
      <c r="O294" s="14">
        <v>4.0</v>
      </c>
      <c r="P294" s="2"/>
      <c r="Q294" s="3"/>
      <c r="R294" s="15">
        <v>4.0</v>
      </c>
      <c r="S294" s="2"/>
      <c r="T294" s="3"/>
      <c r="V294" s="14">
        <v>7.0</v>
      </c>
      <c r="W294" s="2"/>
      <c r="X294" s="3"/>
      <c r="Y294" s="15">
        <v>4.0</v>
      </c>
      <c r="Z294" s="2"/>
      <c r="AA294" s="3"/>
      <c r="AC294" s="59"/>
      <c r="AD294" s="59"/>
      <c r="AF294" s="59"/>
      <c r="AG294" s="59"/>
    </row>
    <row r="295" ht="12.0" customHeight="1">
      <c r="A295" s="60"/>
      <c r="B295" s="61" t="s">
        <v>69</v>
      </c>
      <c r="C295" s="62" t="s">
        <v>70</v>
      </c>
      <c r="D295" s="63"/>
      <c r="E295" s="64" t="s">
        <v>69</v>
      </c>
      <c r="F295" s="65" t="s">
        <v>70</v>
      </c>
      <c r="H295" s="66"/>
      <c r="I295" s="61" t="s">
        <v>69</v>
      </c>
      <c r="J295" s="62" t="s">
        <v>70</v>
      </c>
      <c r="K295" s="63"/>
      <c r="L295" s="64" t="s">
        <v>69</v>
      </c>
      <c r="M295" s="65" t="s">
        <v>70</v>
      </c>
      <c r="O295" s="66"/>
      <c r="P295" s="61" t="s">
        <v>69</v>
      </c>
      <c r="Q295" s="62" t="s">
        <v>70</v>
      </c>
      <c r="R295" s="63"/>
      <c r="S295" s="64" t="s">
        <v>69</v>
      </c>
      <c r="T295" s="65" t="s">
        <v>70</v>
      </c>
      <c r="V295" s="66"/>
      <c r="W295" s="61" t="s">
        <v>69</v>
      </c>
      <c r="X295" s="62" t="s">
        <v>70</v>
      </c>
      <c r="Y295" s="63"/>
      <c r="Z295" s="64" t="s">
        <v>69</v>
      </c>
      <c r="AA295" s="65" t="s">
        <v>70</v>
      </c>
      <c r="AC295" s="22">
        <v>5.0</v>
      </c>
      <c r="AD295" s="52" t="s">
        <v>160</v>
      </c>
    </row>
    <row r="296" ht="14.25" customHeight="1">
      <c r="A296" s="67" t="s">
        <v>10</v>
      </c>
      <c r="B296" s="68"/>
      <c r="C296" s="69">
        <v>2.0</v>
      </c>
      <c r="D296" s="169" t="s">
        <v>20</v>
      </c>
      <c r="E296" s="21">
        <v>1.0</v>
      </c>
      <c r="F296" s="71"/>
      <c r="H296" s="67" t="s">
        <v>10</v>
      </c>
      <c r="I296" s="68"/>
      <c r="J296" s="69">
        <v>1.0</v>
      </c>
      <c r="K296" s="169" t="s">
        <v>6</v>
      </c>
      <c r="L296" s="70"/>
      <c r="M296" s="71"/>
      <c r="O296" s="67" t="s">
        <v>7</v>
      </c>
      <c r="P296" s="68">
        <v>1.0</v>
      </c>
      <c r="Q296" s="69"/>
      <c r="R296" s="169" t="s">
        <v>10</v>
      </c>
      <c r="S296" s="21"/>
      <c r="T296" s="71">
        <v>1.0</v>
      </c>
      <c r="V296" s="67" t="s">
        <v>10</v>
      </c>
      <c r="W296" s="68">
        <v>1.0</v>
      </c>
      <c r="X296" s="69">
        <v>1.0</v>
      </c>
      <c r="Y296" s="169" t="s">
        <v>20</v>
      </c>
      <c r="Z296" s="21">
        <v>2.0</v>
      </c>
      <c r="AA296" s="71">
        <v>1.0</v>
      </c>
      <c r="AC296" s="22">
        <v>4.0</v>
      </c>
      <c r="AD296" s="52" t="s">
        <v>38</v>
      </c>
    </row>
    <row r="297" ht="14.25" customHeight="1">
      <c r="A297" s="72" t="s">
        <v>4</v>
      </c>
      <c r="B297" s="73">
        <v>2.0</v>
      </c>
      <c r="C297" s="69"/>
      <c r="D297" s="170" t="s">
        <v>7</v>
      </c>
      <c r="E297" s="28"/>
      <c r="F297" s="75"/>
      <c r="H297" s="72" t="s">
        <v>13</v>
      </c>
      <c r="I297" s="73"/>
      <c r="J297" s="69"/>
      <c r="K297" s="170" t="s">
        <v>7</v>
      </c>
      <c r="L297" s="28"/>
      <c r="M297" s="75"/>
      <c r="O297" s="72" t="s">
        <v>6</v>
      </c>
      <c r="P297" s="73">
        <v>1.0</v>
      </c>
      <c r="Q297" s="69"/>
      <c r="R297" s="170" t="s">
        <v>13</v>
      </c>
      <c r="S297" s="28">
        <v>2.0</v>
      </c>
      <c r="T297" s="75"/>
      <c r="V297" s="72" t="s">
        <v>9</v>
      </c>
      <c r="W297" s="73">
        <v>1.0</v>
      </c>
      <c r="X297" s="69">
        <v>1.0</v>
      </c>
      <c r="Y297" s="170" t="s">
        <v>57</v>
      </c>
      <c r="Z297" s="28">
        <v>1.0</v>
      </c>
      <c r="AA297" s="75"/>
      <c r="AC297" s="22">
        <v>3.0</v>
      </c>
      <c r="AD297" s="52" t="s">
        <v>161</v>
      </c>
    </row>
    <row r="298" ht="14.25" customHeight="1">
      <c r="A298" s="72" t="s">
        <v>17</v>
      </c>
      <c r="B298" s="73"/>
      <c r="C298" s="69"/>
      <c r="D298" s="170" t="s">
        <v>14</v>
      </c>
      <c r="E298" s="28"/>
      <c r="F298" s="75">
        <v>1.0</v>
      </c>
      <c r="H298" s="72" t="s">
        <v>17</v>
      </c>
      <c r="I298" s="73"/>
      <c r="J298" s="69">
        <v>1.0</v>
      </c>
      <c r="K298" s="170" t="s">
        <v>5</v>
      </c>
      <c r="L298" s="28">
        <v>1.0</v>
      </c>
      <c r="M298" s="75">
        <v>1.0</v>
      </c>
      <c r="O298" s="72" t="s">
        <v>11</v>
      </c>
      <c r="P298" s="73">
        <v>1.0</v>
      </c>
      <c r="Q298" s="69">
        <v>1.0</v>
      </c>
      <c r="R298" s="170" t="s">
        <v>18</v>
      </c>
      <c r="S298" s="28"/>
      <c r="T298" s="75">
        <v>1.0</v>
      </c>
      <c r="V298" s="72" t="s">
        <v>14</v>
      </c>
      <c r="W298" s="73">
        <v>3.0</v>
      </c>
      <c r="X298" s="69">
        <v>1.0</v>
      </c>
      <c r="Y298" s="170" t="s">
        <v>7</v>
      </c>
      <c r="Z298" s="28">
        <v>1.0</v>
      </c>
      <c r="AA298" s="75">
        <v>2.0</v>
      </c>
      <c r="AC298" s="22">
        <v>2.0</v>
      </c>
      <c r="AD298" s="52" t="s">
        <v>162</v>
      </c>
    </row>
    <row r="299" ht="14.25" customHeight="1">
      <c r="A299" s="72" t="s">
        <v>57</v>
      </c>
      <c r="B299" s="73">
        <v>1.0</v>
      </c>
      <c r="C299" s="69"/>
      <c r="D299" s="170" t="s">
        <v>6</v>
      </c>
      <c r="E299" s="74"/>
      <c r="F299" s="75"/>
      <c r="H299" s="72" t="s">
        <v>9</v>
      </c>
      <c r="I299" s="73">
        <v>2.0</v>
      </c>
      <c r="J299" s="69"/>
      <c r="K299" s="170" t="s">
        <v>14</v>
      </c>
      <c r="L299" s="28">
        <v>2.0</v>
      </c>
      <c r="M299" s="75">
        <v>2.0</v>
      </c>
      <c r="O299" s="72" t="s">
        <v>14</v>
      </c>
      <c r="P299" s="73"/>
      <c r="Q299" s="69">
        <v>2.0</v>
      </c>
      <c r="R299" s="170" t="s">
        <v>17</v>
      </c>
      <c r="S299" s="28"/>
      <c r="T299" s="75">
        <v>1.0</v>
      </c>
      <c r="V299" s="72" t="s">
        <v>17</v>
      </c>
      <c r="W299" s="73"/>
      <c r="X299" s="69"/>
      <c r="Y299" s="170" t="s">
        <v>13</v>
      </c>
      <c r="Z299" s="28"/>
      <c r="AA299" s="75">
        <v>1.0</v>
      </c>
      <c r="AC299" s="22">
        <v>1.0</v>
      </c>
      <c r="AD299" s="52" t="s">
        <v>163</v>
      </c>
    </row>
    <row r="300" ht="14.25" customHeight="1">
      <c r="A300" s="77" t="s">
        <v>5</v>
      </c>
      <c r="B300" s="78"/>
      <c r="C300" s="82">
        <v>1.0</v>
      </c>
      <c r="D300" s="166" t="s">
        <v>24</v>
      </c>
      <c r="E300" s="34">
        <v>1.0</v>
      </c>
      <c r="F300" s="81"/>
      <c r="H300" s="77" t="s">
        <v>18</v>
      </c>
      <c r="I300" s="78">
        <v>1.0</v>
      </c>
      <c r="J300" s="82"/>
      <c r="K300" s="166" t="s">
        <v>20</v>
      </c>
      <c r="L300" s="34">
        <v>1.0</v>
      </c>
      <c r="M300" s="81"/>
      <c r="O300" s="72" t="s">
        <v>4</v>
      </c>
      <c r="P300" s="73">
        <v>1.0</v>
      </c>
      <c r="Q300" s="69"/>
      <c r="R300" s="166" t="s">
        <v>5</v>
      </c>
      <c r="S300" s="34">
        <v>2.0</v>
      </c>
      <c r="T300" s="81">
        <v>1.0</v>
      </c>
      <c r="V300" s="77" t="s">
        <v>5</v>
      </c>
      <c r="W300" s="78">
        <v>2.0</v>
      </c>
      <c r="X300" s="82">
        <v>3.0</v>
      </c>
      <c r="Y300" s="166" t="s">
        <v>139</v>
      </c>
      <c r="Z300" s="34"/>
      <c r="AA300" s="81"/>
      <c r="AC300" s="22"/>
      <c r="AD300" s="52" t="s">
        <v>164</v>
      </c>
    </row>
    <row r="301" ht="14.25" customHeight="1">
      <c r="V301" s="184"/>
      <c r="W301" s="184"/>
      <c r="X301" s="184"/>
      <c r="Y301" s="184"/>
      <c r="Z301" s="184"/>
      <c r="AC301" s="22"/>
      <c r="AD301" s="52" t="s">
        <v>165</v>
      </c>
    </row>
    <row r="302" ht="14.25" customHeight="1">
      <c r="V302" s="92" t="s">
        <v>3</v>
      </c>
      <c r="W302" s="93"/>
      <c r="X302" s="30"/>
      <c r="Y302" s="50">
        <f>A294+D294+H294+K294+O294+R294+V294+Y294</f>
        <v>31</v>
      </c>
      <c r="Z302" s="30"/>
      <c r="AD302" s="52" t="s">
        <v>29</v>
      </c>
    </row>
    <row r="303" ht="14.25" customHeight="1"/>
    <row r="304" ht="14.25" customHeight="1"/>
    <row r="305" ht="14.25" customHeight="1"/>
    <row r="306" ht="14.25" customHeight="1">
      <c r="P306" s="8">
        <v>44348.0</v>
      </c>
      <c r="Q306" s="2"/>
      <c r="R306" s="2"/>
      <c r="S306" s="3"/>
    </row>
    <row r="307" ht="14.25" customHeight="1"/>
    <row r="308" ht="14.25" customHeight="1">
      <c r="A308" s="9">
        <v>12.0</v>
      </c>
      <c r="B308" s="10">
        <v>44350.0</v>
      </c>
      <c r="C308" s="2"/>
      <c r="D308" s="2"/>
      <c r="E308" s="2"/>
      <c r="F308" s="3"/>
      <c r="H308" s="9">
        <v>13.0</v>
      </c>
      <c r="I308" s="10">
        <v>44357.0</v>
      </c>
      <c r="J308" s="2"/>
      <c r="K308" s="2"/>
      <c r="L308" s="2"/>
      <c r="M308" s="3"/>
      <c r="O308" s="9">
        <v>14.0</v>
      </c>
      <c r="P308" s="10">
        <v>44362.0</v>
      </c>
      <c r="Q308" s="2"/>
      <c r="R308" s="2"/>
      <c r="S308" s="2"/>
      <c r="T308" s="3"/>
      <c r="V308" s="9">
        <v>15.0</v>
      </c>
      <c r="W308" s="10">
        <v>44369.0</v>
      </c>
      <c r="X308" s="2"/>
      <c r="Y308" s="2"/>
      <c r="Z308" s="2"/>
      <c r="AA308" s="3"/>
      <c r="AC308" s="9">
        <v>16.0</v>
      </c>
      <c r="AD308" s="10">
        <v>44376.0</v>
      </c>
      <c r="AE308" s="2"/>
      <c r="AF308" s="2"/>
      <c r="AG308" s="2"/>
      <c r="AH308" s="3"/>
    </row>
    <row r="309" ht="14.25" customHeight="1">
      <c r="A309" s="14">
        <v>8.0</v>
      </c>
      <c r="B309" s="2"/>
      <c r="C309" s="3"/>
      <c r="D309" s="15">
        <v>8.0</v>
      </c>
      <c r="E309" s="2"/>
      <c r="F309" s="3"/>
      <c r="H309" s="14">
        <v>2.0</v>
      </c>
      <c r="I309" s="2"/>
      <c r="J309" s="3"/>
      <c r="K309" s="15">
        <v>4.0</v>
      </c>
      <c r="L309" s="2"/>
      <c r="M309" s="3"/>
      <c r="O309" s="14">
        <v>8.0</v>
      </c>
      <c r="P309" s="2"/>
      <c r="Q309" s="3"/>
      <c r="R309" s="15">
        <v>6.0</v>
      </c>
      <c r="S309" s="2"/>
      <c r="T309" s="3"/>
      <c r="V309" s="14">
        <v>3.0</v>
      </c>
      <c r="W309" s="2"/>
      <c r="X309" s="3"/>
      <c r="Y309" s="15">
        <v>9.0</v>
      </c>
      <c r="Z309" s="2"/>
      <c r="AA309" s="3"/>
      <c r="AC309" s="14">
        <v>6.0</v>
      </c>
      <c r="AD309" s="2"/>
      <c r="AE309" s="3"/>
      <c r="AF309" s="15">
        <v>5.0</v>
      </c>
      <c r="AG309" s="2"/>
      <c r="AH309" s="3"/>
    </row>
    <row r="310" ht="12.0" customHeight="1">
      <c r="A310" s="60"/>
      <c r="B310" s="61" t="s">
        <v>69</v>
      </c>
      <c r="C310" s="62" t="s">
        <v>70</v>
      </c>
      <c r="D310" s="63"/>
      <c r="E310" s="64" t="s">
        <v>69</v>
      </c>
      <c r="F310" s="65" t="s">
        <v>70</v>
      </c>
      <c r="H310" s="66"/>
      <c r="I310" s="61" t="s">
        <v>69</v>
      </c>
      <c r="J310" s="62" t="s">
        <v>70</v>
      </c>
      <c r="K310" s="63"/>
      <c r="L310" s="64" t="s">
        <v>69</v>
      </c>
      <c r="M310" s="65" t="s">
        <v>70</v>
      </c>
      <c r="O310" s="66"/>
      <c r="P310" s="61" t="s">
        <v>69</v>
      </c>
      <c r="Q310" s="62" t="s">
        <v>70</v>
      </c>
      <c r="R310" s="63"/>
      <c r="S310" s="64" t="s">
        <v>69</v>
      </c>
      <c r="T310" s="65" t="s">
        <v>70</v>
      </c>
      <c r="V310" s="66"/>
      <c r="W310" s="61" t="s">
        <v>69</v>
      </c>
      <c r="X310" s="62" t="s">
        <v>70</v>
      </c>
      <c r="Y310" s="63"/>
      <c r="Z310" s="64" t="s">
        <v>69</v>
      </c>
      <c r="AA310" s="65" t="s">
        <v>70</v>
      </c>
      <c r="AC310" s="66"/>
      <c r="AD310" s="61" t="s">
        <v>69</v>
      </c>
      <c r="AE310" s="62" t="s">
        <v>70</v>
      </c>
      <c r="AF310" s="63"/>
      <c r="AG310" s="64" t="s">
        <v>69</v>
      </c>
      <c r="AH310" s="65" t="s">
        <v>70</v>
      </c>
    </row>
    <row r="311" ht="14.25" customHeight="1">
      <c r="A311" s="67" t="s">
        <v>54</v>
      </c>
      <c r="B311" s="68">
        <v>5.0</v>
      </c>
      <c r="C311" s="69">
        <v>1.0</v>
      </c>
      <c r="D311" s="169" t="s">
        <v>10</v>
      </c>
      <c r="E311" s="21">
        <v>1.0</v>
      </c>
      <c r="F311" s="71">
        <v>2.0</v>
      </c>
      <c r="H311" s="67" t="s">
        <v>20</v>
      </c>
      <c r="I311" s="68">
        <v>2.0</v>
      </c>
      <c r="J311" s="69"/>
      <c r="K311" s="169" t="s">
        <v>11</v>
      </c>
      <c r="L311" s="21">
        <v>1.0</v>
      </c>
      <c r="M311" s="71"/>
      <c r="O311" s="67" t="s">
        <v>106</v>
      </c>
      <c r="P311" s="68">
        <v>2.0</v>
      </c>
      <c r="Q311" s="69"/>
      <c r="R311" s="169" t="s">
        <v>11</v>
      </c>
      <c r="S311" s="21">
        <v>1.0</v>
      </c>
      <c r="T311" s="71">
        <v>1.0</v>
      </c>
      <c r="V311" s="67" t="s">
        <v>13</v>
      </c>
      <c r="W311" s="68"/>
      <c r="X311" s="69">
        <v>1.0</v>
      </c>
      <c r="Y311" s="169" t="s">
        <v>10</v>
      </c>
      <c r="Z311" s="21">
        <v>2.0</v>
      </c>
      <c r="AA311" s="71">
        <v>3.0</v>
      </c>
      <c r="AC311" s="67" t="s">
        <v>10</v>
      </c>
      <c r="AD311" s="68">
        <v>1.0</v>
      </c>
      <c r="AE311" s="69">
        <v>1.0</v>
      </c>
      <c r="AF311" s="169" t="s">
        <v>7</v>
      </c>
      <c r="AG311" s="21"/>
      <c r="AH311" s="71"/>
    </row>
    <row r="312" ht="14.25" customHeight="1">
      <c r="A312" s="72" t="s">
        <v>39</v>
      </c>
      <c r="B312" s="73">
        <v>1.0</v>
      </c>
      <c r="C312" s="69"/>
      <c r="D312" s="170" t="s">
        <v>7</v>
      </c>
      <c r="E312" s="28"/>
      <c r="F312" s="75">
        <v>2.0</v>
      </c>
      <c r="H312" s="72" t="s">
        <v>7</v>
      </c>
      <c r="I312" s="73"/>
      <c r="J312" s="69">
        <v>1.0</v>
      </c>
      <c r="K312" s="170" t="s">
        <v>17</v>
      </c>
      <c r="L312" s="28">
        <v>2.0</v>
      </c>
      <c r="M312" s="75"/>
      <c r="O312" s="72" t="s">
        <v>14</v>
      </c>
      <c r="P312" s="73">
        <v>3.0</v>
      </c>
      <c r="Q312" s="69">
        <v>3.0</v>
      </c>
      <c r="R312" s="170" t="s">
        <v>57</v>
      </c>
      <c r="S312" s="28">
        <v>3.0</v>
      </c>
      <c r="T312" s="75">
        <v>1.0</v>
      </c>
      <c r="V312" s="72" t="s">
        <v>24</v>
      </c>
      <c r="W312" s="73">
        <v>2.0</v>
      </c>
      <c r="X312" s="69"/>
      <c r="Y312" s="170" t="s">
        <v>7</v>
      </c>
      <c r="Z312" s="28">
        <v>1.0</v>
      </c>
      <c r="AA312" s="75">
        <v>3.0</v>
      </c>
      <c r="AC312" s="72" t="s">
        <v>20</v>
      </c>
      <c r="AD312" s="73"/>
      <c r="AE312" s="69">
        <v>2.0</v>
      </c>
      <c r="AF312" s="170" t="s">
        <v>11</v>
      </c>
      <c r="AG312" s="28">
        <v>2.0</v>
      </c>
      <c r="AH312" s="75"/>
    </row>
    <row r="313" ht="14.25" customHeight="1">
      <c r="A313" s="72" t="s">
        <v>18</v>
      </c>
      <c r="B313" s="73"/>
      <c r="C313" s="69">
        <v>1.0</v>
      </c>
      <c r="D313" s="170" t="s">
        <v>55</v>
      </c>
      <c r="E313" s="28">
        <v>4.0</v>
      </c>
      <c r="F313" s="75"/>
      <c r="H313" s="72" t="s">
        <v>5</v>
      </c>
      <c r="I313" s="73"/>
      <c r="J313" s="69">
        <v>1.0</v>
      </c>
      <c r="K313" s="170" t="s">
        <v>106</v>
      </c>
      <c r="L313" s="28">
        <v>1.0</v>
      </c>
      <c r="M313" s="75"/>
      <c r="O313" s="72" t="s">
        <v>24</v>
      </c>
      <c r="P313" s="73">
        <v>1.0</v>
      </c>
      <c r="Q313" s="69">
        <v>1.0</v>
      </c>
      <c r="R313" s="170" t="s">
        <v>7</v>
      </c>
      <c r="S313" s="28">
        <v>1.0</v>
      </c>
      <c r="T313" s="75">
        <v>2.0</v>
      </c>
      <c r="V313" s="72" t="s">
        <v>139</v>
      </c>
      <c r="W313" s="73">
        <v>1.0</v>
      </c>
      <c r="X313" s="69"/>
      <c r="Y313" s="170" t="s">
        <v>57</v>
      </c>
      <c r="Z313" s="28">
        <v>2.0</v>
      </c>
      <c r="AA313" s="75">
        <v>1.0</v>
      </c>
      <c r="AC313" s="72" t="s">
        <v>17</v>
      </c>
      <c r="AD313" s="73"/>
      <c r="AE313" s="69">
        <v>1.0</v>
      </c>
      <c r="AF313" s="170" t="s">
        <v>122</v>
      </c>
      <c r="AG313" s="28">
        <v>2.0</v>
      </c>
      <c r="AH313" s="75">
        <v>2.0</v>
      </c>
    </row>
    <row r="314" ht="14.25" customHeight="1">
      <c r="A314" s="72" t="s">
        <v>57</v>
      </c>
      <c r="B314" s="73">
        <v>1.0</v>
      </c>
      <c r="C314" s="69"/>
      <c r="D314" s="170" t="s">
        <v>5</v>
      </c>
      <c r="E314" s="28">
        <v>2.0</v>
      </c>
      <c r="F314" s="75">
        <v>1.0</v>
      </c>
      <c r="H314" s="72" t="s">
        <v>13</v>
      </c>
      <c r="I314" s="73"/>
      <c r="J314" s="69"/>
      <c r="K314" s="170" t="s">
        <v>4</v>
      </c>
      <c r="L314" s="28"/>
      <c r="M314" s="75"/>
      <c r="O314" s="72" t="s">
        <v>18</v>
      </c>
      <c r="P314" s="73"/>
      <c r="Q314" s="69"/>
      <c r="R314" s="170" t="s">
        <v>166</v>
      </c>
      <c r="S314" s="28"/>
      <c r="T314" s="75">
        <v>1.0</v>
      </c>
      <c r="V314" s="72" t="s">
        <v>166</v>
      </c>
      <c r="W314" s="73"/>
      <c r="X314" s="69"/>
      <c r="Y314" s="170" t="s">
        <v>17</v>
      </c>
      <c r="Z314" s="28"/>
      <c r="AA314" s="75">
        <v>2.0</v>
      </c>
      <c r="AC314" s="72" t="s">
        <v>167</v>
      </c>
      <c r="AD314" s="73">
        <v>1.0</v>
      </c>
      <c r="AE314" s="69">
        <v>2.0</v>
      </c>
      <c r="AF314" s="170" t="s">
        <v>9</v>
      </c>
      <c r="AG314" s="28"/>
      <c r="AH314" s="75"/>
    </row>
    <row r="315" ht="14.25" customHeight="1">
      <c r="A315" s="77" t="s">
        <v>11</v>
      </c>
      <c r="B315" s="78">
        <v>1.0</v>
      </c>
      <c r="C315" s="82">
        <v>1.0</v>
      </c>
      <c r="D315" s="166" t="s">
        <v>13</v>
      </c>
      <c r="E315" s="34">
        <v>1.0</v>
      </c>
      <c r="F315" s="81"/>
      <c r="H315" s="77" t="s">
        <v>18</v>
      </c>
      <c r="I315" s="78"/>
      <c r="J315" s="82"/>
      <c r="K315" s="166" t="s">
        <v>57</v>
      </c>
      <c r="L315" s="34"/>
      <c r="M315" s="81"/>
      <c r="O315" s="72" t="s">
        <v>5</v>
      </c>
      <c r="P315" s="73">
        <v>2.0</v>
      </c>
      <c r="Q315" s="69"/>
      <c r="R315" s="166" t="s">
        <v>20</v>
      </c>
      <c r="S315" s="34">
        <v>1.0</v>
      </c>
      <c r="T315" s="81"/>
      <c r="V315" s="77" t="s">
        <v>18</v>
      </c>
      <c r="W315" s="78"/>
      <c r="X315" s="82"/>
      <c r="Y315" s="166" t="s">
        <v>11</v>
      </c>
      <c r="Z315" s="34">
        <v>4.0</v>
      </c>
      <c r="AA315" s="81"/>
      <c r="AC315" s="77" t="s">
        <v>57</v>
      </c>
      <c r="AD315" s="78">
        <v>4.0</v>
      </c>
      <c r="AE315" s="82"/>
      <c r="AF315" s="166" t="s">
        <v>39</v>
      </c>
      <c r="AG315" s="34">
        <v>1.0</v>
      </c>
      <c r="AH315" s="81">
        <v>1.0</v>
      </c>
    </row>
    <row r="316" ht="14.25" customHeight="1">
      <c r="V316" s="184"/>
      <c r="W316" s="184"/>
      <c r="X316" s="184"/>
      <c r="Y316" s="184"/>
      <c r="Z316" s="184"/>
      <c r="AC316" s="22"/>
    </row>
    <row r="317" ht="14.25" customHeight="1">
      <c r="V317" s="92" t="s">
        <v>3</v>
      </c>
      <c r="W317" s="93"/>
      <c r="X317" s="30"/>
      <c r="Y317" s="50">
        <f>A309+D309+H309+K309+O309+R309+V309+Y309+AC309+AF309</f>
        <v>59</v>
      </c>
      <c r="Z317" s="30"/>
    </row>
    <row r="318" ht="14.25" customHeight="1">
      <c r="A318" s="51" t="s">
        <v>168</v>
      </c>
      <c r="B318" s="2"/>
      <c r="C318" s="2"/>
      <c r="D318" s="2"/>
      <c r="E318" s="3"/>
    </row>
    <row r="319" ht="14.25" customHeight="1">
      <c r="A319" s="185"/>
      <c r="B319" s="185"/>
      <c r="C319" s="185"/>
      <c r="D319" s="185"/>
      <c r="E319" s="185"/>
    </row>
    <row r="320" ht="14.25" customHeight="1">
      <c r="A320" s="186">
        <v>10.0</v>
      </c>
      <c r="B320" s="187" t="s">
        <v>84</v>
      </c>
      <c r="C320" s="185"/>
      <c r="D320" s="185"/>
      <c r="E320" s="185"/>
    </row>
    <row r="321" ht="14.25" customHeight="1">
      <c r="A321" s="22">
        <v>9.0</v>
      </c>
      <c r="B321" s="52" t="s">
        <v>41</v>
      </c>
    </row>
    <row r="322" ht="14.25" customHeight="1">
      <c r="A322" s="22">
        <v>7.0</v>
      </c>
      <c r="B322" s="52" t="s">
        <v>82</v>
      </c>
    </row>
    <row r="323" ht="14.25" customHeight="1">
      <c r="A323" s="22">
        <v>5.0</v>
      </c>
      <c r="B323" s="52" t="s">
        <v>79</v>
      </c>
    </row>
    <row r="324" ht="14.25" customHeight="1">
      <c r="A324" s="22">
        <v>4.0</v>
      </c>
      <c r="B324" s="52" t="s">
        <v>169</v>
      </c>
    </row>
    <row r="325" ht="14.25" customHeight="1">
      <c r="A325" s="22">
        <v>3.0</v>
      </c>
      <c r="B325" s="52" t="s">
        <v>170</v>
      </c>
    </row>
    <row r="326" ht="14.25" customHeight="1">
      <c r="A326" s="22">
        <v>2.0</v>
      </c>
      <c r="B326" s="52" t="s">
        <v>171</v>
      </c>
    </row>
    <row r="327" ht="14.25" customHeight="1">
      <c r="A327" s="22">
        <v>1.0</v>
      </c>
      <c r="B327" s="52" t="s">
        <v>172</v>
      </c>
    </row>
    <row r="328" ht="14.25" customHeight="1"/>
    <row r="329" ht="14.25" customHeight="1"/>
    <row r="330" ht="14.25" customHeight="1">
      <c r="P330" s="8">
        <v>44378.0</v>
      </c>
      <c r="Q330" s="2"/>
      <c r="R330" s="2"/>
      <c r="S330" s="3"/>
    </row>
    <row r="331" ht="14.25" customHeight="1"/>
    <row r="332" ht="14.25" customHeight="1">
      <c r="A332" s="9">
        <v>17.0</v>
      </c>
      <c r="B332" s="10">
        <v>44384.0</v>
      </c>
      <c r="C332" s="2"/>
      <c r="D332" s="2"/>
      <c r="E332" s="2"/>
      <c r="F332" s="3"/>
      <c r="H332" s="9">
        <v>18.0</v>
      </c>
      <c r="I332" s="10">
        <v>44390.0</v>
      </c>
      <c r="J332" s="2"/>
      <c r="K332" s="2"/>
      <c r="L332" s="2"/>
      <c r="M332" s="3"/>
      <c r="O332" s="9">
        <v>19.0</v>
      </c>
      <c r="P332" s="10">
        <v>44397.0</v>
      </c>
      <c r="Q332" s="2"/>
      <c r="R332" s="2"/>
      <c r="S332" s="2"/>
      <c r="T332" s="3"/>
      <c r="V332" s="9">
        <v>20.0</v>
      </c>
      <c r="W332" s="10">
        <v>44404.0</v>
      </c>
      <c r="X332" s="2"/>
      <c r="Y332" s="2"/>
      <c r="Z332" s="2"/>
      <c r="AA332" s="3"/>
      <c r="AC332" s="51" t="s">
        <v>173</v>
      </c>
      <c r="AD332" s="2"/>
      <c r="AE332" s="2"/>
      <c r="AF332" s="2"/>
      <c r="AG332" s="3"/>
    </row>
    <row r="333" ht="14.25" customHeight="1">
      <c r="A333" s="14">
        <v>7.0</v>
      </c>
      <c r="B333" s="2"/>
      <c r="C333" s="3"/>
      <c r="D333" s="15">
        <v>2.0</v>
      </c>
      <c r="E333" s="2"/>
      <c r="F333" s="3"/>
      <c r="H333" s="14">
        <v>6.0</v>
      </c>
      <c r="I333" s="2"/>
      <c r="J333" s="3"/>
      <c r="K333" s="15">
        <v>2.0</v>
      </c>
      <c r="L333" s="2"/>
      <c r="M333" s="3"/>
      <c r="O333" s="14">
        <v>7.0</v>
      </c>
      <c r="P333" s="2"/>
      <c r="Q333" s="3"/>
      <c r="R333" s="15">
        <v>3.0</v>
      </c>
      <c r="S333" s="2"/>
      <c r="T333" s="3"/>
      <c r="V333" s="14">
        <v>4.0</v>
      </c>
      <c r="W333" s="2"/>
      <c r="X333" s="3"/>
      <c r="Y333" s="15">
        <v>3.0</v>
      </c>
      <c r="Z333" s="2"/>
      <c r="AA333" s="3"/>
      <c r="AC333" s="59"/>
      <c r="AD333" s="59"/>
      <c r="AF333" s="59"/>
      <c r="AG333" s="59"/>
    </row>
    <row r="334" ht="12.0" customHeight="1">
      <c r="A334" s="60"/>
      <c r="B334" s="61" t="s">
        <v>69</v>
      </c>
      <c r="C334" s="62" t="s">
        <v>70</v>
      </c>
      <c r="D334" s="63"/>
      <c r="E334" s="64" t="s">
        <v>69</v>
      </c>
      <c r="F334" s="65" t="s">
        <v>70</v>
      </c>
      <c r="H334" s="66"/>
      <c r="I334" s="61" t="s">
        <v>69</v>
      </c>
      <c r="J334" s="62" t="s">
        <v>70</v>
      </c>
      <c r="K334" s="63"/>
      <c r="L334" s="64" t="s">
        <v>69</v>
      </c>
      <c r="M334" s="65" t="s">
        <v>70</v>
      </c>
      <c r="O334" s="66"/>
      <c r="P334" s="61" t="s">
        <v>69</v>
      </c>
      <c r="Q334" s="62" t="s">
        <v>70</v>
      </c>
      <c r="R334" s="63"/>
      <c r="S334" s="64" t="s">
        <v>69</v>
      </c>
      <c r="T334" s="65" t="s">
        <v>70</v>
      </c>
      <c r="V334" s="66"/>
      <c r="W334" s="61" t="s">
        <v>69</v>
      </c>
      <c r="X334" s="62" t="s">
        <v>70</v>
      </c>
      <c r="Y334" s="63"/>
      <c r="Z334" s="64" t="s">
        <v>69</v>
      </c>
      <c r="AA334" s="65" t="s">
        <v>70</v>
      </c>
      <c r="AC334" s="22">
        <v>7.0</v>
      </c>
      <c r="AD334" s="52" t="s">
        <v>174</v>
      </c>
    </row>
    <row r="335" ht="14.25" customHeight="1">
      <c r="A335" s="67" t="s">
        <v>18</v>
      </c>
      <c r="B335" s="68">
        <v>1.0</v>
      </c>
      <c r="C335" s="69"/>
      <c r="D335" s="169" t="s">
        <v>10</v>
      </c>
      <c r="E335" s="21"/>
      <c r="F335" s="71">
        <v>1.0</v>
      </c>
      <c r="H335" s="67" t="s">
        <v>10</v>
      </c>
      <c r="I335" s="68">
        <v>1.0</v>
      </c>
      <c r="J335" s="69"/>
      <c r="K335" s="169" t="s">
        <v>7</v>
      </c>
      <c r="L335" s="21">
        <v>1.0</v>
      </c>
      <c r="M335" s="71"/>
      <c r="O335" s="67" t="s">
        <v>18</v>
      </c>
      <c r="P335" s="68">
        <v>1.0</v>
      </c>
      <c r="Q335" s="69"/>
      <c r="R335" s="169" t="s">
        <v>10</v>
      </c>
      <c r="S335" s="21">
        <v>1.0</v>
      </c>
      <c r="T335" s="71"/>
      <c r="V335" s="67" t="s">
        <v>18</v>
      </c>
      <c r="W335" s="68">
        <v>1.0</v>
      </c>
      <c r="X335" s="69"/>
      <c r="Y335" s="169" t="s">
        <v>10</v>
      </c>
      <c r="Z335" s="21"/>
      <c r="AA335" s="71"/>
      <c r="AC335" s="22">
        <v>6.0</v>
      </c>
      <c r="AD335" s="52" t="s">
        <v>38</v>
      </c>
    </row>
    <row r="336" ht="14.25" customHeight="1">
      <c r="A336" s="72" t="s">
        <v>20</v>
      </c>
      <c r="B336" s="73">
        <v>3.0</v>
      </c>
      <c r="C336" s="69"/>
      <c r="D336" s="170" t="s">
        <v>17</v>
      </c>
      <c r="E336" s="28">
        <v>1.0</v>
      </c>
      <c r="F336" s="75"/>
      <c r="H336" s="72" t="s">
        <v>20</v>
      </c>
      <c r="I336" s="73">
        <v>2.0</v>
      </c>
      <c r="J336" s="69"/>
      <c r="K336" s="170" t="s">
        <v>14</v>
      </c>
      <c r="L336" s="28">
        <v>1.0</v>
      </c>
      <c r="M336" s="75"/>
      <c r="O336" s="72" t="s">
        <v>20</v>
      </c>
      <c r="P336" s="73">
        <v>1.0</v>
      </c>
      <c r="Q336" s="69">
        <v>2.0</v>
      </c>
      <c r="R336" s="170" t="s">
        <v>14</v>
      </c>
      <c r="S336" s="28"/>
      <c r="T336" s="75">
        <v>2.0</v>
      </c>
      <c r="V336" s="72" t="s">
        <v>7</v>
      </c>
      <c r="W336" s="73"/>
      <c r="X336" s="69"/>
      <c r="Y336" s="170" t="s">
        <v>20</v>
      </c>
      <c r="Z336" s="28"/>
      <c r="AA336" s="75"/>
      <c r="AC336" s="22">
        <v>5.0</v>
      </c>
      <c r="AD336" s="52" t="s">
        <v>41</v>
      </c>
    </row>
    <row r="337" ht="14.25" customHeight="1">
      <c r="A337" s="72" t="s">
        <v>9</v>
      </c>
      <c r="B337" s="73"/>
      <c r="C337" s="69">
        <v>1.0</v>
      </c>
      <c r="D337" s="170" t="s">
        <v>57</v>
      </c>
      <c r="E337" s="28">
        <v>1.0</v>
      </c>
      <c r="F337" s="75">
        <v>1.0</v>
      </c>
      <c r="H337" s="72" t="s">
        <v>13</v>
      </c>
      <c r="I337" s="73">
        <v>1.0</v>
      </c>
      <c r="J337" s="69"/>
      <c r="K337" s="170" t="s">
        <v>57</v>
      </c>
      <c r="L337" s="28"/>
      <c r="M337" s="75"/>
      <c r="O337" s="72" t="s">
        <v>39</v>
      </c>
      <c r="P337" s="73">
        <v>3.0</v>
      </c>
      <c r="Q337" s="69">
        <v>2.0</v>
      </c>
      <c r="R337" s="170" t="s">
        <v>55</v>
      </c>
      <c r="S337" s="28">
        <v>1.0</v>
      </c>
      <c r="T337" s="75"/>
      <c r="V337" s="72" t="s">
        <v>11</v>
      </c>
      <c r="W337" s="73">
        <v>3.0</v>
      </c>
      <c r="X337" s="69"/>
      <c r="Y337" s="170" t="s">
        <v>175</v>
      </c>
      <c r="Z337" s="28"/>
      <c r="AA337" s="75">
        <v>1.0</v>
      </c>
      <c r="AC337" s="22">
        <v>3.0</v>
      </c>
      <c r="AD337" s="52" t="s">
        <v>91</v>
      </c>
    </row>
    <row r="338" ht="14.25" customHeight="1">
      <c r="A338" s="72" t="s">
        <v>166</v>
      </c>
      <c r="B338" s="73">
        <v>1.0</v>
      </c>
      <c r="C338" s="69">
        <v>3.0</v>
      </c>
      <c r="D338" s="170" t="s">
        <v>14</v>
      </c>
      <c r="E338" s="74"/>
      <c r="F338" s="75"/>
      <c r="H338" s="72" t="s">
        <v>17</v>
      </c>
      <c r="I338" s="73"/>
      <c r="J338" s="69">
        <v>2.0</v>
      </c>
      <c r="K338" s="170" t="s">
        <v>18</v>
      </c>
      <c r="L338" s="28"/>
      <c r="M338" s="75"/>
      <c r="O338" s="72" t="s">
        <v>11</v>
      </c>
      <c r="P338" s="73">
        <v>1.0</v>
      </c>
      <c r="Q338" s="69">
        <v>2.0</v>
      </c>
      <c r="R338" s="170" t="s">
        <v>139</v>
      </c>
      <c r="S338" s="28">
        <v>1.0</v>
      </c>
      <c r="T338" s="75"/>
      <c r="V338" s="72" t="s">
        <v>122</v>
      </c>
      <c r="W338" s="73"/>
      <c r="X338" s="69"/>
      <c r="Y338" s="170" t="s">
        <v>39</v>
      </c>
      <c r="Z338" s="28">
        <v>2.0</v>
      </c>
      <c r="AA338" s="75"/>
      <c r="AC338" s="22">
        <v>2.0</v>
      </c>
      <c r="AD338" s="52" t="s">
        <v>176</v>
      </c>
    </row>
    <row r="339" ht="14.25" customHeight="1">
      <c r="A339" s="77" t="s">
        <v>39</v>
      </c>
      <c r="B339" s="78">
        <v>2.0</v>
      </c>
      <c r="C339" s="82"/>
      <c r="D339" s="166" t="s">
        <v>7</v>
      </c>
      <c r="E339" s="34"/>
      <c r="F339" s="81"/>
      <c r="H339" s="77" t="s">
        <v>11</v>
      </c>
      <c r="I339" s="78">
        <v>1.0</v>
      </c>
      <c r="J339" s="82"/>
      <c r="K339" s="166" t="s">
        <v>4</v>
      </c>
      <c r="L339" s="34"/>
      <c r="M339" s="81"/>
      <c r="O339" s="72" t="s">
        <v>122</v>
      </c>
      <c r="P339" s="73">
        <v>1.0</v>
      </c>
      <c r="Q339" s="69">
        <v>1.0</v>
      </c>
      <c r="R339" s="166" t="s">
        <v>7</v>
      </c>
      <c r="S339" s="34"/>
      <c r="T339" s="81"/>
      <c r="V339" s="77" t="s">
        <v>17</v>
      </c>
      <c r="W339" s="78"/>
      <c r="X339" s="82"/>
      <c r="Y339" s="166" t="s">
        <v>55</v>
      </c>
      <c r="Z339" s="34">
        <v>1.0</v>
      </c>
      <c r="AA339" s="81"/>
      <c r="AC339" s="22">
        <v>1.0</v>
      </c>
      <c r="AD339" s="52" t="s">
        <v>177</v>
      </c>
    </row>
    <row r="340" ht="14.25" customHeight="1">
      <c r="H340" s="188" t="s">
        <v>44</v>
      </c>
      <c r="I340" s="3"/>
      <c r="J340" s="78">
        <v>1.0</v>
      </c>
      <c r="V340" s="184"/>
      <c r="W340" s="184"/>
      <c r="X340" s="184"/>
      <c r="Y340" s="184"/>
      <c r="Z340" s="184"/>
      <c r="AC340" s="22"/>
      <c r="AD340" s="52" t="s">
        <v>178</v>
      </c>
    </row>
    <row r="341" ht="14.25" customHeight="1">
      <c r="V341" s="92" t="s">
        <v>3</v>
      </c>
      <c r="W341" s="93"/>
      <c r="X341" s="30"/>
      <c r="Y341" s="50">
        <f>A333+D333+H333+K333+O333+R333+V333+Y333</f>
        <v>34</v>
      </c>
      <c r="Z341" s="30"/>
      <c r="AC341" s="22"/>
      <c r="AD341" s="52" t="s">
        <v>179</v>
      </c>
    </row>
    <row r="342" ht="14.25" customHeight="1">
      <c r="AC342" s="22"/>
      <c r="AD342" s="52" t="s">
        <v>180</v>
      </c>
    </row>
    <row r="343" ht="14.25" customHeight="1">
      <c r="AC343" s="22"/>
    </row>
    <row r="344" ht="14.25" customHeight="1"/>
    <row r="345" ht="14.25" customHeight="1">
      <c r="P345" s="8">
        <v>44409.0</v>
      </c>
      <c r="Q345" s="2"/>
      <c r="R345" s="2"/>
      <c r="S345" s="3"/>
    </row>
    <row r="346" ht="14.25" customHeight="1"/>
    <row r="347" ht="14.25" customHeight="1">
      <c r="A347" s="9">
        <v>21.0</v>
      </c>
      <c r="B347" s="10">
        <v>44411.0</v>
      </c>
      <c r="C347" s="2"/>
      <c r="D347" s="2"/>
      <c r="E347" s="2"/>
      <c r="F347" s="3"/>
      <c r="H347" s="9">
        <v>22.0</v>
      </c>
      <c r="I347" s="10">
        <v>44418.0</v>
      </c>
      <c r="J347" s="2"/>
      <c r="K347" s="2"/>
      <c r="L347" s="2"/>
      <c r="M347" s="3"/>
      <c r="O347" s="9">
        <v>23.0</v>
      </c>
      <c r="P347" s="10">
        <v>44432.0</v>
      </c>
      <c r="Q347" s="2"/>
      <c r="R347" s="2"/>
      <c r="S347" s="2"/>
      <c r="T347" s="3"/>
      <c r="V347" s="9">
        <v>24.0</v>
      </c>
      <c r="W347" s="10">
        <v>44439.0</v>
      </c>
      <c r="X347" s="2"/>
      <c r="Y347" s="2"/>
      <c r="Z347" s="2"/>
      <c r="AA347" s="3"/>
      <c r="AC347" s="51" t="s">
        <v>181</v>
      </c>
      <c r="AD347" s="2"/>
      <c r="AE347" s="2"/>
      <c r="AF347" s="2"/>
      <c r="AG347" s="3"/>
      <c r="AH347" s="145"/>
    </row>
    <row r="348" ht="14.25" customHeight="1">
      <c r="A348" s="14">
        <v>4.0</v>
      </c>
      <c r="B348" s="2"/>
      <c r="C348" s="3"/>
      <c r="D348" s="15">
        <v>6.0</v>
      </c>
      <c r="E348" s="2"/>
      <c r="F348" s="3"/>
      <c r="H348" s="14">
        <v>9.0</v>
      </c>
      <c r="I348" s="2"/>
      <c r="J348" s="3"/>
      <c r="K348" s="15">
        <v>7.0</v>
      </c>
      <c r="L348" s="2"/>
      <c r="M348" s="3"/>
      <c r="O348" s="14">
        <v>6.0</v>
      </c>
      <c r="P348" s="2"/>
      <c r="Q348" s="3"/>
      <c r="R348" s="15">
        <v>3.0</v>
      </c>
      <c r="S348" s="2"/>
      <c r="T348" s="3"/>
      <c r="V348" s="14">
        <v>5.0</v>
      </c>
      <c r="W348" s="2"/>
      <c r="X348" s="3"/>
      <c r="Y348" s="15">
        <v>5.0</v>
      </c>
      <c r="Z348" s="2"/>
      <c r="AA348" s="3"/>
      <c r="AH348" s="189"/>
    </row>
    <row r="349" ht="12.0" customHeight="1">
      <c r="A349" s="60"/>
      <c r="B349" s="61" t="s">
        <v>69</v>
      </c>
      <c r="C349" s="62" t="s">
        <v>70</v>
      </c>
      <c r="D349" s="63"/>
      <c r="E349" s="64" t="s">
        <v>69</v>
      </c>
      <c r="F349" s="65" t="s">
        <v>70</v>
      </c>
      <c r="H349" s="66"/>
      <c r="I349" s="61" t="s">
        <v>69</v>
      </c>
      <c r="J349" s="62" t="s">
        <v>70</v>
      </c>
      <c r="K349" s="63"/>
      <c r="L349" s="64" t="s">
        <v>69</v>
      </c>
      <c r="M349" s="65" t="s">
        <v>70</v>
      </c>
      <c r="O349" s="66"/>
      <c r="P349" s="61" t="s">
        <v>69</v>
      </c>
      <c r="Q349" s="62" t="s">
        <v>70</v>
      </c>
      <c r="R349" s="63"/>
      <c r="S349" s="64" t="s">
        <v>69</v>
      </c>
      <c r="T349" s="65" t="s">
        <v>70</v>
      </c>
      <c r="V349" s="66"/>
      <c r="W349" s="61" t="s">
        <v>69</v>
      </c>
      <c r="X349" s="62" t="s">
        <v>70</v>
      </c>
      <c r="Y349" s="63"/>
      <c r="Z349" s="64" t="s">
        <v>69</v>
      </c>
      <c r="AA349" s="65" t="s">
        <v>70</v>
      </c>
      <c r="AC349" s="22">
        <v>8.0</v>
      </c>
      <c r="AD349" s="52" t="s">
        <v>182</v>
      </c>
      <c r="AH349" s="178"/>
    </row>
    <row r="350" ht="14.25" customHeight="1">
      <c r="A350" s="67" t="s">
        <v>7</v>
      </c>
      <c r="B350" s="68">
        <v>1.0</v>
      </c>
      <c r="C350" s="69"/>
      <c r="D350" s="169" t="s">
        <v>18</v>
      </c>
      <c r="E350" s="21"/>
      <c r="F350" s="71">
        <v>1.0</v>
      </c>
      <c r="H350" s="67" t="s">
        <v>17</v>
      </c>
      <c r="I350" s="68">
        <v>1.0</v>
      </c>
      <c r="J350" s="69">
        <v>3.0</v>
      </c>
      <c r="K350" s="169" t="s">
        <v>7</v>
      </c>
      <c r="L350" s="21">
        <v>1.0</v>
      </c>
      <c r="M350" s="71"/>
      <c r="O350" s="67" t="s">
        <v>18</v>
      </c>
      <c r="P350" s="68"/>
      <c r="Q350" s="69">
        <v>1.0</v>
      </c>
      <c r="R350" s="169" t="s">
        <v>10</v>
      </c>
      <c r="S350" s="21">
        <v>2.0</v>
      </c>
      <c r="T350" s="71"/>
      <c r="V350" s="67" t="s">
        <v>10</v>
      </c>
      <c r="W350" s="68"/>
      <c r="X350" s="69"/>
      <c r="Y350" s="169" t="s">
        <v>18</v>
      </c>
      <c r="Z350" s="21">
        <v>1.0</v>
      </c>
      <c r="AA350" s="71"/>
      <c r="AC350" s="22">
        <v>6.0</v>
      </c>
      <c r="AD350" s="52" t="s">
        <v>119</v>
      </c>
      <c r="AH350" s="181"/>
    </row>
    <row r="351" ht="14.25" customHeight="1">
      <c r="A351" s="72" t="s">
        <v>183</v>
      </c>
      <c r="B351" s="73"/>
      <c r="C351" s="69"/>
      <c r="D351" s="170" t="s">
        <v>13</v>
      </c>
      <c r="E351" s="28">
        <v>1.0</v>
      </c>
      <c r="F351" s="75"/>
      <c r="H351" s="72" t="s">
        <v>11</v>
      </c>
      <c r="I351" s="73"/>
      <c r="J351" s="69"/>
      <c r="K351" s="170" t="s">
        <v>55</v>
      </c>
      <c r="L351" s="28">
        <v>3.0</v>
      </c>
      <c r="M351" s="75">
        <v>1.0</v>
      </c>
      <c r="O351" s="72" t="s">
        <v>4</v>
      </c>
      <c r="P351" s="73"/>
      <c r="Q351" s="69">
        <v>2.0</v>
      </c>
      <c r="R351" s="170" t="s">
        <v>7</v>
      </c>
      <c r="S351" s="28"/>
      <c r="T351" s="75">
        <v>2.0</v>
      </c>
      <c r="V351" s="72" t="s">
        <v>184</v>
      </c>
      <c r="W351" s="73"/>
      <c r="X351" s="69">
        <v>1.0</v>
      </c>
      <c r="Y351" s="170" t="s">
        <v>20</v>
      </c>
      <c r="Z351" s="28">
        <v>1.0</v>
      </c>
      <c r="AA351" s="75"/>
      <c r="AC351" s="22">
        <v>4.0</v>
      </c>
      <c r="AD351" s="52" t="s">
        <v>185</v>
      </c>
      <c r="AH351" s="181"/>
    </row>
    <row r="352" ht="14.25" customHeight="1">
      <c r="A352" s="72" t="s">
        <v>4</v>
      </c>
      <c r="B352" s="73"/>
      <c r="C352" s="69">
        <v>1.0</v>
      </c>
      <c r="D352" s="170" t="s">
        <v>20</v>
      </c>
      <c r="E352" s="28">
        <v>3.0</v>
      </c>
      <c r="F352" s="75"/>
      <c r="H352" s="72" t="s">
        <v>186</v>
      </c>
      <c r="I352" s="73">
        <v>4.0</v>
      </c>
      <c r="J352" s="69">
        <v>1.0</v>
      </c>
      <c r="K352" s="170" t="s">
        <v>54</v>
      </c>
      <c r="L352" s="28">
        <v>3.0</v>
      </c>
      <c r="M352" s="75">
        <v>2.0</v>
      </c>
      <c r="O352" s="72" t="s">
        <v>39</v>
      </c>
      <c r="P352" s="73">
        <v>1.0</v>
      </c>
      <c r="Q352" s="69"/>
      <c r="R352" s="170" t="s">
        <v>153</v>
      </c>
      <c r="S352" s="28"/>
      <c r="T352" s="75"/>
      <c r="V352" s="72" t="s">
        <v>153</v>
      </c>
      <c r="W352" s="73">
        <v>1.0</v>
      </c>
      <c r="X352" s="69">
        <v>3.0</v>
      </c>
      <c r="Y352" s="170" t="s">
        <v>175</v>
      </c>
      <c r="Z352" s="28">
        <v>1.0</v>
      </c>
      <c r="AA352" s="75">
        <v>1.0</v>
      </c>
      <c r="AC352" s="22">
        <v>3.0</v>
      </c>
      <c r="AD352" s="52" t="s">
        <v>79</v>
      </c>
      <c r="AH352" s="181"/>
    </row>
    <row r="353" ht="14.25" customHeight="1">
      <c r="A353" s="72" t="s">
        <v>55</v>
      </c>
      <c r="B353" s="73">
        <v>2.0</v>
      </c>
      <c r="C353" s="69"/>
      <c r="D353" s="170" t="s">
        <v>39</v>
      </c>
      <c r="E353" s="28"/>
      <c r="F353" s="75">
        <v>2.0</v>
      </c>
      <c r="H353" s="72" t="s">
        <v>187</v>
      </c>
      <c r="I353" s="73">
        <v>2.0</v>
      </c>
      <c r="J353" s="69">
        <v>1.0</v>
      </c>
      <c r="K353" s="170" t="s">
        <v>183</v>
      </c>
      <c r="L353" s="28"/>
      <c r="M353" s="75"/>
      <c r="O353" s="72" t="s">
        <v>14</v>
      </c>
      <c r="P353" s="73">
        <v>1.0</v>
      </c>
      <c r="Q353" s="69"/>
      <c r="R353" s="170" t="s">
        <v>17</v>
      </c>
      <c r="S353" s="28"/>
      <c r="T353" s="75"/>
      <c r="V353" s="72" t="s">
        <v>17</v>
      </c>
      <c r="W353" s="73"/>
      <c r="X353" s="69">
        <v>1.0</v>
      </c>
      <c r="Y353" s="170" t="s">
        <v>14</v>
      </c>
      <c r="Z353" s="28"/>
      <c r="AA353" s="75">
        <v>2.0</v>
      </c>
      <c r="AC353" s="22">
        <v>2.0</v>
      </c>
      <c r="AD353" s="52" t="s">
        <v>188</v>
      </c>
      <c r="AH353" s="181"/>
    </row>
    <row r="354" ht="14.25" customHeight="1">
      <c r="A354" s="77" t="s">
        <v>9</v>
      </c>
      <c r="B354" s="78">
        <v>1.0</v>
      </c>
      <c r="C354" s="82">
        <v>2.0</v>
      </c>
      <c r="D354" s="166" t="s">
        <v>17</v>
      </c>
      <c r="E354" s="34">
        <v>1.0</v>
      </c>
      <c r="F354" s="81"/>
      <c r="H354" s="77" t="s">
        <v>166</v>
      </c>
      <c r="I354" s="78">
        <v>2.0</v>
      </c>
      <c r="J354" s="82"/>
      <c r="K354" s="166" t="s">
        <v>18</v>
      </c>
      <c r="L354" s="34"/>
      <c r="M354" s="81"/>
      <c r="O354" s="77" t="s">
        <v>186</v>
      </c>
      <c r="P354" s="78">
        <v>4.0</v>
      </c>
      <c r="Q354" s="190">
        <v>1.0</v>
      </c>
      <c r="R354" s="166" t="s">
        <v>11</v>
      </c>
      <c r="S354" s="34">
        <v>1.0</v>
      </c>
      <c r="T354" s="81"/>
      <c r="V354" s="77" t="s">
        <v>57</v>
      </c>
      <c r="W354" s="78">
        <v>4.0</v>
      </c>
      <c r="X354" s="82"/>
      <c r="Y354" s="166" t="s">
        <v>55</v>
      </c>
      <c r="Z354" s="34">
        <v>1.0</v>
      </c>
      <c r="AA354" s="81"/>
      <c r="AC354" s="22"/>
      <c r="AD354" s="52" t="s">
        <v>189</v>
      </c>
      <c r="AH354" s="181"/>
    </row>
    <row r="355" ht="14.25" customHeight="1">
      <c r="D355" s="167" t="s">
        <v>190</v>
      </c>
      <c r="E355" s="167">
        <v>1.0</v>
      </c>
      <c r="Y355" s="167" t="s">
        <v>191</v>
      </c>
      <c r="Z355" s="167">
        <v>1.0</v>
      </c>
      <c r="AC355" s="22">
        <v>1.0</v>
      </c>
      <c r="AD355" s="52" t="s">
        <v>192</v>
      </c>
      <c r="AH355" s="181"/>
    </row>
    <row r="356" ht="14.25" customHeight="1">
      <c r="V356" s="90"/>
      <c r="W356" s="90"/>
      <c r="X356" s="90"/>
      <c r="Y356" s="90"/>
      <c r="Z356" s="90"/>
      <c r="AC356" s="22"/>
      <c r="AD356" s="52" t="s">
        <v>193</v>
      </c>
    </row>
    <row r="357" ht="14.25" customHeight="1">
      <c r="V357" s="92" t="s">
        <v>3</v>
      </c>
      <c r="W357" s="93"/>
      <c r="X357" s="30"/>
      <c r="Y357" s="50">
        <f>A348+D348+H348+K348+O348+R348+V348+Y348+AC348+AF348</f>
        <v>45</v>
      </c>
      <c r="Z357" s="30"/>
      <c r="AC357" s="22"/>
      <c r="AD357" s="52" t="s">
        <v>194</v>
      </c>
    </row>
    <row r="358" ht="14.25" customHeight="1">
      <c r="A358" s="146"/>
      <c r="B358" s="146"/>
      <c r="C358" s="146"/>
      <c r="D358" s="146"/>
      <c r="E358" s="146"/>
      <c r="AC358" s="22"/>
      <c r="AD358" s="52" t="s">
        <v>195</v>
      </c>
    </row>
    <row r="359" ht="14.25" customHeight="1">
      <c r="A359" s="146"/>
      <c r="B359" s="146"/>
      <c r="C359" s="146"/>
      <c r="D359" s="146"/>
      <c r="E359" s="146"/>
      <c r="AC359" s="22"/>
    </row>
    <row r="360" ht="14.25" customHeight="1"/>
    <row r="361" ht="14.25" customHeight="1">
      <c r="A361" s="22"/>
      <c r="L361" s="4" t="s">
        <v>196</v>
      </c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3"/>
    </row>
    <row r="362" ht="14.25" customHeight="1">
      <c r="A362" s="22"/>
    </row>
    <row r="363" ht="14.25" customHeight="1">
      <c r="A363" s="22"/>
      <c r="P363" s="8">
        <v>44440.0</v>
      </c>
      <c r="Q363" s="2"/>
      <c r="R363" s="2"/>
      <c r="S363" s="3"/>
    </row>
    <row r="364" ht="14.25" customHeight="1">
      <c r="A364" s="22"/>
    </row>
    <row r="365" ht="14.25" customHeight="1">
      <c r="A365" s="9">
        <v>1.0</v>
      </c>
      <c r="B365" s="10">
        <v>44446.0</v>
      </c>
      <c r="C365" s="2"/>
      <c r="D365" s="2"/>
      <c r="E365" s="2"/>
      <c r="F365" s="3"/>
      <c r="H365" s="9">
        <v>2.0</v>
      </c>
      <c r="I365" s="10">
        <v>44453.0</v>
      </c>
      <c r="J365" s="2"/>
      <c r="K365" s="2"/>
      <c r="L365" s="2"/>
      <c r="M365" s="3"/>
      <c r="O365" s="9">
        <v>3.0</v>
      </c>
      <c r="P365" s="10">
        <v>44459.0</v>
      </c>
      <c r="Q365" s="2"/>
      <c r="R365" s="2"/>
      <c r="S365" s="2"/>
      <c r="T365" s="3"/>
      <c r="V365" s="9">
        <v>4.0</v>
      </c>
      <c r="W365" s="10">
        <v>44467.0</v>
      </c>
      <c r="X365" s="2"/>
      <c r="Y365" s="2"/>
      <c r="Z365" s="2"/>
      <c r="AA365" s="3"/>
      <c r="AC365" s="51" t="s">
        <v>197</v>
      </c>
      <c r="AD365" s="2"/>
      <c r="AE365" s="2"/>
      <c r="AF365" s="2"/>
      <c r="AG365" s="3"/>
    </row>
    <row r="366" ht="14.25" customHeight="1">
      <c r="A366" s="14">
        <v>6.0</v>
      </c>
      <c r="B366" s="2"/>
      <c r="C366" s="3"/>
      <c r="D366" s="15">
        <v>5.0</v>
      </c>
      <c r="E366" s="2"/>
      <c r="F366" s="3"/>
      <c r="H366" s="14">
        <v>3.0</v>
      </c>
      <c r="I366" s="2"/>
      <c r="J366" s="3"/>
      <c r="K366" s="15">
        <v>5.0</v>
      </c>
      <c r="L366" s="2"/>
      <c r="M366" s="3"/>
      <c r="O366" s="14">
        <v>3.0</v>
      </c>
      <c r="P366" s="2"/>
      <c r="Q366" s="3"/>
      <c r="R366" s="15">
        <v>3.0</v>
      </c>
      <c r="S366" s="2"/>
      <c r="T366" s="3"/>
      <c r="V366" s="14">
        <v>5.0</v>
      </c>
      <c r="W366" s="2"/>
      <c r="X366" s="3"/>
      <c r="Y366" s="15">
        <v>8.0</v>
      </c>
      <c r="Z366" s="2"/>
      <c r="AA366" s="3"/>
    </row>
    <row r="367" ht="12.0" customHeight="1">
      <c r="A367" s="60"/>
      <c r="B367" s="61" t="s">
        <v>69</v>
      </c>
      <c r="C367" s="62" t="s">
        <v>70</v>
      </c>
      <c r="D367" s="63"/>
      <c r="E367" s="64" t="s">
        <v>69</v>
      </c>
      <c r="F367" s="65" t="s">
        <v>70</v>
      </c>
      <c r="H367" s="66"/>
      <c r="I367" s="61" t="s">
        <v>69</v>
      </c>
      <c r="J367" s="61" t="s">
        <v>70</v>
      </c>
      <c r="K367" s="63"/>
      <c r="L367" s="64" t="s">
        <v>69</v>
      </c>
      <c r="M367" s="65" t="s">
        <v>70</v>
      </c>
      <c r="O367" s="66"/>
      <c r="P367" s="61" t="s">
        <v>69</v>
      </c>
      <c r="Q367" s="62" t="s">
        <v>70</v>
      </c>
      <c r="R367" s="63"/>
      <c r="S367" s="64" t="s">
        <v>69</v>
      </c>
      <c r="T367" s="65" t="s">
        <v>70</v>
      </c>
      <c r="V367" s="66"/>
      <c r="W367" s="61" t="s">
        <v>69</v>
      </c>
      <c r="X367" s="62" t="s">
        <v>70</v>
      </c>
      <c r="Y367" s="63"/>
      <c r="Z367" s="64" t="s">
        <v>69</v>
      </c>
      <c r="AA367" s="65" t="s">
        <v>70</v>
      </c>
      <c r="AC367" s="22">
        <v>7.0</v>
      </c>
      <c r="AD367" s="52" t="s">
        <v>198</v>
      </c>
    </row>
    <row r="368" ht="14.25" customHeight="1">
      <c r="A368" s="67" t="s">
        <v>7</v>
      </c>
      <c r="B368" s="68"/>
      <c r="C368" s="69">
        <v>2.0</v>
      </c>
      <c r="D368" s="169" t="s">
        <v>10</v>
      </c>
      <c r="E368" s="21">
        <v>2.0</v>
      </c>
      <c r="F368" s="71"/>
      <c r="H368" s="67" t="s">
        <v>18</v>
      </c>
      <c r="I368" s="68"/>
      <c r="J368" s="191">
        <v>1.0</v>
      </c>
      <c r="K368" s="169" t="s">
        <v>10</v>
      </c>
      <c r="L368" s="21">
        <v>3.0</v>
      </c>
      <c r="M368" s="71">
        <v>1.0</v>
      </c>
      <c r="O368" s="67" t="s">
        <v>10</v>
      </c>
      <c r="P368" s="68"/>
      <c r="Q368" s="69">
        <v>1.0</v>
      </c>
      <c r="R368" s="169" t="s">
        <v>18</v>
      </c>
      <c r="S368" s="21">
        <v>1.0</v>
      </c>
      <c r="T368" s="71">
        <v>1.0</v>
      </c>
      <c r="V368" s="67" t="s">
        <v>7</v>
      </c>
      <c r="W368" s="68">
        <v>1.0</v>
      </c>
      <c r="X368" s="69">
        <v>1.0</v>
      </c>
      <c r="Y368" s="169" t="s">
        <v>18</v>
      </c>
      <c r="Z368" s="21"/>
      <c r="AA368" s="71"/>
      <c r="AC368" s="22">
        <v>4.0</v>
      </c>
      <c r="AD368" s="52" t="s">
        <v>199</v>
      </c>
    </row>
    <row r="369" ht="14.25" customHeight="1">
      <c r="A369" s="72" t="s">
        <v>11</v>
      </c>
      <c r="B369" s="73">
        <v>1.0</v>
      </c>
      <c r="C369" s="69"/>
      <c r="D369" s="170" t="s">
        <v>18</v>
      </c>
      <c r="E369" s="28">
        <v>1.0</v>
      </c>
      <c r="F369" s="75">
        <v>1.0</v>
      </c>
      <c r="H369" s="72" t="s">
        <v>7</v>
      </c>
      <c r="I369" s="73"/>
      <c r="J369" s="191">
        <v>1.0</v>
      </c>
      <c r="K369" s="170" t="s">
        <v>11</v>
      </c>
      <c r="L369" s="28"/>
      <c r="M369" s="75">
        <v>1.0</v>
      </c>
      <c r="O369" s="72" t="s">
        <v>7</v>
      </c>
      <c r="P369" s="73">
        <v>1.0</v>
      </c>
      <c r="Q369" s="69"/>
      <c r="R369" s="170" t="s">
        <v>20</v>
      </c>
      <c r="S369" s="28">
        <v>1.0</v>
      </c>
      <c r="T369" s="75"/>
      <c r="V369" s="72" t="s">
        <v>11</v>
      </c>
      <c r="W369" s="73">
        <v>1.0</v>
      </c>
      <c r="X369" s="69"/>
      <c r="Y369" s="170" t="s">
        <v>10</v>
      </c>
      <c r="Z369" s="28">
        <v>2.0</v>
      </c>
      <c r="AA369" s="75">
        <v>2.0</v>
      </c>
      <c r="AC369" s="22">
        <v>3.0</v>
      </c>
      <c r="AD369" s="52" t="s">
        <v>200</v>
      </c>
    </row>
    <row r="370" ht="14.25" customHeight="1">
      <c r="A370" s="72" t="s">
        <v>166</v>
      </c>
      <c r="B370" s="73"/>
      <c r="C370" s="69">
        <v>1.0</v>
      </c>
      <c r="D370" s="170" t="s">
        <v>153</v>
      </c>
      <c r="E370" s="28"/>
      <c r="F370" s="75"/>
      <c r="H370" s="72" t="s">
        <v>14</v>
      </c>
      <c r="I370" s="73">
        <v>1.0</v>
      </c>
      <c r="J370" s="191"/>
      <c r="K370" s="170" t="s">
        <v>20</v>
      </c>
      <c r="L370" s="28">
        <v>1.0</v>
      </c>
      <c r="M370" s="75">
        <v>1.0</v>
      </c>
      <c r="O370" s="72" t="s">
        <v>175</v>
      </c>
      <c r="P370" s="73"/>
      <c r="Q370" s="69"/>
      <c r="R370" s="170" t="s">
        <v>11</v>
      </c>
      <c r="S370" s="28">
        <v>1.0</v>
      </c>
      <c r="T370" s="75"/>
      <c r="V370" s="72" t="s">
        <v>20</v>
      </c>
      <c r="W370" s="73"/>
      <c r="X370" s="69">
        <v>1.0</v>
      </c>
      <c r="Y370" s="170" t="s">
        <v>17</v>
      </c>
      <c r="Z370" s="28"/>
      <c r="AA370" s="75">
        <v>1.0</v>
      </c>
      <c r="AC370" s="22">
        <v>2.0</v>
      </c>
      <c r="AD370" s="52" t="s">
        <v>201</v>
      </c>
    </row>
    <row r="371" ht="14.25" customHeight="1">
      <c r="A371" s="72" t="s">
        <v>14</v>
      </c>
      <c r="B371" s="73">
        <v>2.0</v>
      </c>
      <c r="C371" s="69">
        <v>1.0</v>
      </c>
      <c r="D371" s="170" t="s">
        <v>20</v>
      </c>
      <c r="E371" s="28">
        <v>1.0</v>
      </c>
      <c r="F371" s="75">
        <v>1.0</v>
      </c>
      <c r="H371" s="72" t="s">
        <v>4</v>
      </c>
      <c r="I371" s="73">
        <v>2.0</v>
      </c>
      <c r="J371" s="191"/>
      <c r="K371" s="170" t="s">
        <v>17</v>
      </c>
      <c r="L371" s="28"/>
      <c r="M371" s="75"/>
      <c r="O371" s="72" t="s">
        <v>202</v>
      </c>
      <c r="P371" s="73"/>
      <c r="Q371" s="69"/>
      <c r="R371" s="170" t="s">
        <v>14</v>
      </c>
      <c r="S371" s="28"/>
      <c r="T371" s="75">
        <v>1.0</v>
      </c>
      <c r="V371" s="72" t="s">
        <v>39</v>
      </c>
      <c r="W371" s="73">
        <v>3.0</v>
      </c>
      <c r="X371" s="69"/>
      <c r="Y371" s="170" t="s">
        <v>186</v>
      </c>
      <c r="Z371" s="28">
        <v>5.0</v>
      </c>
      <c r="AA371" s="75">
        <v>1.0</v>
      </c>
      <c r="AC371" s="22">
        <v>1.0</v>
      </c>
      <c r="AD371" s="52" t="s">
        <v>203</v>
      </c>
    </row>
    <row r="372" ht="14.25" customHeight="1">
      <c r="A372" s="77" t="s">
        <v>57</v>
      </c>
      <c r="B372" s="78">
        <v>3.0</v>
      </c>
      <c r="C372" s="82">
        <v>2.0</v>
      </c>
      <c r="D372" s="166" t="s">
        <v>39</v>
      </c>
      <c r="E372" s="34">
        <v>1.0</v>
      </c>
      <c r="F372" s="81">
        <v>2.0</v>
      </c>
      <c r="H372" s="77" t="s">
        <v>39</v>
      </c>
      <c r="I372" s="78"/>
      <c r="J372" s="190"/>
      <c r="K372" s="166" t="s">
        <v>57</v>
      </c>
      <c r="L372" s="34">
        <v>1.0</v>
      </c>
      <c r="M372" s="81"/>
      <c r="O372" s="77" t="s">
        <v>186</v>
      </c>
      <c r="P372" s="78">
        <v>2.0</v>
      </c>
      <c r="Q372" s="190"/>
      <c r="R372" s="166" t="s">
        <v>57</v>
      </c>
      <c r="S372" s="34"/>
      <c r="T372" s="81"/>
      <c r="V372" s="77" t="s">
        <v>14</v>
      </c>
      <c r="W372" s="78"/>
      <c r="X372" s="82">
        <v>1.0</v>
      </c>
      <c r="Y372" s="166" t="s">
        <v>166</v>
      </c>
      <c r="Z372" s="34">
        <v>1.0</v>
      </c>
      <c r="AA372" s="81"/>
      <c r="AC372" s="22"/>
    </row>
    <row r="373" ht="14.25" customHeight="1">
      <c r="AC373" s="22"/>
    </row>
    <row r="374" ht="14.25" customHeight="1">
      <c r="V374" s="90"/>
      <c r="W374" s="90"/>
      <c r="X374" s="90"/>
      <c r="Y374" s="90"/>
      <c r="Z374" s="90"/>
      <c r="AC374" s="22"/>
    </row>
    <row r="375" ht="14.25" customHeight="1">
      <c r="V375" s="92" t="s">
        <v>3</v>
      </c>
      <c r="W375" s="93"/>
      <c r="X375" s="30"/>
      <c r="Y375" s="50">
        <f>A366+D366+H366+K366+O366+R366+V366+Y366+AC366+AF366</f>
        <v>38</v>
      </c>
      <c r="Z375" s="30"/>
      <c r="AC375" s="22"/>
    </row>
    <row r="376" ht="14.25" customHeight="1"/>
    <row r="377" ht="14.25" customHeight="1"/>
    <row r="378" ht="14.25" customHeight="1">
      <c r="P378" s="8">
        <v>44470.0</v>
      </c>
      <c r="Q378" s="2"/>
      <c r="R378" s="2"/>
      <c r="S378" s="3"/>
    </row>
    <row r="379" ht="14.25" customHeight="1"/>
    <row r="380" ht="14.25" customHeight="1">
      <c r="A380" s="9">
        <v>5.0</v>
      </c>
      <c r="B380" s="10">
        <v>44475.0</v>
      </c>
      <c r="C380" s="2"/>
      <c r="D380" s="2"/>
      <c r="E380" s="2"/>
      <c r="F380" s="3"/>
      <c r="H380" s="9">
        <v>6.0</v>
      </c>
      <c r="I380" s="10">
        <v>44481.0</v>
      </c>
      <c r="J380" s="2"/>
      <c r="K380" s="2"/>
      <c r="L380" s="2"/>
      <c r="M380" s="3"/>
      <c r="O380" s="9">
        <v>7.0</v>
      </c>
      <c r="P380" s="10">
        <v>44488.0</v>
      </c>
      <c r="Q380" s="2"/>
      <c r="R380" s="2"/>
      <c r="S380" s="2"/>
      <c r="T380" s="3"/>
      <c r="V380" s="9">
        <v>8.0</v>
      </c>
      <c r="W380" s="10">
        <v>44495.0</v>
      </c>
      <c r="X380" s="2"/>
      <c r="Y380" s="2"/>
      <c r="Z380" s="2"/>
      <c r="AA380" s="3"/>
      <c r="AC380" s="51" t="s">
        <v>204</v>
      </c>
      <c r="AD380" s="2"/>
      <c r="AE380" s="2"/>
      <c r="AF380" s="2"/>
      <c r="AG380" s="3"/>
    </row>
    <row r="381" ht="14.25" customHeight="1">
      <c r="A381" s="14">
        <v>4.0</v>
      </c>
      <c r="B381" s="2"/>
      <c r="C381" s="3"/>
      <c r="D381" s="15">
        <v>2.0</v>
      </c>
      <c r="E381" s="2"/>
      <c r="F381" s="3"/>
      <c r="H381" s="14">
        <v>7.0</v>
      </c>
      <c r="I381" s="2"/>
      <c r="J381" s="3"/>
      <c r="K381" s="15">
        <v>3.0</v>
      </c>
      <c r="L381" s="2"/>
      <c r="M381" s="3"/>
      <c r="O381" s="14">
        <v>3.0</v>
      </c>
      <c r="P381" s="2"/>
      <c r="Q381" s="3"/>
      <c r="R381" s="15">
        <v>3.0</v>
      </c>
      <c r="S381" s="2"/>
      <c r="T381" s="3"/>
      <c r="V381" s="14">
        <v>3.0</v>
      </c>
      <c r="W381" s="2"/>
      <c r="X381" s="3"/>
      <c r="Y381" s="15">
        <v>3.0</v>
      </c>
      <c r="Z381" s="2"/>
      <c r="AA381" s="3"/>
    </row>
    <row r="382" ht="12.0" customHeight="1">
      <c r="A382" s="66"/>
      <c r="B382" s="61" t="s">
        <v>69</v>
      </c>
      <c r="C382" s="62" t="s">
        <v>70</v>
      </c>
      <c r="D382" s="63"/>
      <c r="E382" s="64" t="s">
        <v>69</v>
      </c>
      <c r="F382" s="65" t="s">
        <v>70</v>
      </c>
      <c r="H382" s="66"/>
      <c r="I382" s="61" t="s">
        <v>69</v>
      </c>
      <c r="J382" s="61" t="s">
        <v>70</v>
      </c>
      <c r="K382" s="63"/>
      <c r="L382" s="64" t="s">
        <v>69</v>
      </c>
      <c r="M382" s="65" t="s">
        <v>70</v>
      </c>
      <c r="O382" s="66"/>
      <c r="P382" s="61" t="s">
        <v>69</v>
      </c>
      <c r="Q382" s="62" t="s">
        <v>70</v>
      </c>
      <c r="R382" s="63"/>
      <c r="S382" s="64" t="s">
        <v>69</v>
      </c>
      <c r="T382" s="65" t="s">
        <v>70</v>
      </c>
      <c r="V382" s="66"/>
      <c r="W382" s="61" t="s">
        <v>69</v>
      </c>
      <c r="X382" s="62" t="s">
        <v>70</v>
      </c>
      <c r="Y382" s="63"/>
      <c r="Z382" s="64" t="s">
        <v>69</v>
      </c>
      <c r="AA382" s="65" t="s">
        <v>70</v>
      </c>
      <c r="AC382" s="22">
        <v>7.0</v>
      </c>
      <c r="AD382" s="52" t="s">
        <v>33</v>
      </c>
    </row>
    <row r="383" ht="14.25" customHeight="1">
      <c r="A383" s="67" t="s">
        <v>10</v>
      </c>
      <c r="B383" s="68">
        <v>2.0</v>
      </c>
      <c r="C383" s="69">
        <v>1.0</v>
      </c>
      <c r="D383" s="169" t="s">
        <v>11</v>
      </c>
      <c r="E383" s="21"/>
      <c r="F383" s="71">
        <v>1.0</v>
      </c>
      <c r="H383" s="67" t="s">
        <v>14</v>
      </c>
      <c r="I383" s="68">
        <v>2.0</v>
      </c>
      <c r="J383" s="191"/>
      <c r="K383" s="169" t="s">
        <v>18</v>
      </c>
      <c r="L383" s="21">
        <v>1.0</v>
      </c>
      <c r="M383" s="71"/>
      <c r="O383" s="67" t="s">
        <v>57</v>
      </c>
      <c r="P383" s="68"/>
      <c r="Q383" s="69"/>
      <c r="R383" s="169" t="s">
        <v>5</v>
      </c>
      <c r="S383" s="21"/>
      <c r="T383" s="71">
        <v>2.0</v>
      </c>
      <c r="V383" s="67" t="s">
        <v>18</v>
      </c>
      <c r="W383" s="68"/>
      <c r="X383" s="69"/>
      <c r="Y383" s="169" t="s">
        <v>7</v>
      </c>
      <c r="Z383" s="21"/>
      <c r="AA383" s="71"/>
      <c r="AC383" s="22">
        <v>4.0</v>
      </c>
      <c r="AD383" s="52" t="s">
        <v>205</v>
      </c>
    </row>
    <row r="384" ht="14.25" customHeight="1">
      <c r="A384" s="72" t="s">
        <v>7</v>
      </c>
      <c r="B384" s="73">
        <v>1.0</v>
      </c>
      <c r="C384" s="69">
        <v>1.0</v>
      </c>
      <c r="D384" s="170" t="s">
        <v>187</v>
      </c>
      <c r="E384" s="28"/>
      <c r="F384" s="75">
        <v>1.0</v>
      </c>
      <c r="H384" s="192" t="s">
        <v>6</v>
      </c>
      <c r="I384" s="73">
        <v>1.0</v>
      </c>
      <c r="J384" s="191">
        <v>1.0</v>
      </c>
      <c r="K384" s="170" t="s">
        <v>7</v>
      </c>
      <c r="L384" s="28"/>
      <c r="M384" s="75">
        <v>2.0</v>
      </c>
      <c r="O384" s="72" t="s">
        <v>18</v>
      </c>
      <c r="P384" s="73"/>
      <c r="Q384" s="69">
        <v>1.0</v>
      </c>
      <c r="R384" s="170" t="s">
        <v>6</v>
      </c>
      <c r="S384" s="28"/>
      <c r="T384" s="75"/>
      <c r="V384" s="72" t="s">
        <v>17</v>
      </c>
      <c r="W384" s="73">
        <v>1.0</v>
      </c>
      <c r="X384" s="69"/>
      <c r="Y384" s="170" t="s">
        <v>166</v>
      </c>
      <c r="Z384" s="28">
        <v>2.0</v>
      </c>
      <c r="AA384" s="75"/>
      <c r="AC384" s="22">
        <v>3.0</v>
      </c>
      <c r="AD384" s="52" t="s">
        <v>82</v>
      </c>
    </row>
    <row r="385" ht="14.25" customHeight="1">
      <c r="A385" s="72" t="s">
        <v>153</v>
      </c>
      <c r="B385" s="73"/>
      <c r="C385" s="69"/>
      <c r="D385" s="170" t="s">
        <v>9</v>
      </c>
      <c r="E385" s="28"/>
      <c r="F385" s="75"/>
      <c r="H385" s="72" t="s">
        <v>17</v>
      </c>
      <c r="I385" s="73">
        <v>2.0</v>
      </c>
      <c r="J385" s="191"/>
      <c r="K385" s="170" t="s">
        <v>10</v>
      </c>
      <c r="L385" s="28"/>
      <c r="M385" s="75"/>
      <c r="O385" s="72" t="s">
        <v>4</v>
      </c>
      <c r="P385" s="73"/>
      <c r="Q385" s="69"/>
      <c r="R385" s="170" t="s">
        <v>10</v>
      </c>
      <c r="S385" s="28"/>
      <c r="T385" s="75">
        <v>1.0</v>
      </c>
      <c r="V385" s="72" t="s">
        <v>10</v>
      </c>
      <c r="W385" s="73">
        <v>1.0</v>
      </c>
      <c r="X385" s="69"/>
      <c r="Y385" s="170" t="s">
        <v>4</v>
      </c>
      <c r="Z385" s="28"/>
      <c r="AA385" s="75">
        <v>1.0</v>
      </c>
      <c r="AC385" s="22">
        <v>2.0</v>
      </c>
      <c r="AD385" s="52" t="s">
        <v>206</v>
      </c>
    </row>
    <row r="386" ht="14.25" customHeight="1">
      <c r="A386" s="72" t="s">
        <v>207</v>
      </c>
      <c r="B386" s="73">
        <v>1.0</v>
      </c>
      <c r="C386" s="69"/>
      <c r="D386" s="170" t="s">
        <v>13</v>
      </c>
      <c r="E386" s="28">
        <v>2.0</v>
      </c>
      <c r="F386" s="75"/>
      <c r="H386" s="72" t="s">
        <v>4</v>
      </c>
      <c r="I386" s="73"/>
      <c r="J386" s="191">
        <v>3.0</v>
      </c>
      <c r="K386" s="170" t="s">
        <v>13</v>
      </c>
      <c r="L386" s="28">
        <v>2.0</v>
      </c>
      <c r="M386" s="75"/>
      <c r="O386" s="72" t="s">
        <v>14</v>
      </c>
      <c r="P386" s="73">
        <v>2.0</v>
      </c>
      <c r="Q386" s="69">
        <v>1.0</v>
      </c>
      <c r="R386" s="170" t="s">
        <v>13</v>
      </c>
      <c r="S386" s="28">
        <v>2.0</v>
      </c>
      <c r="T386" s="75"/>
      <c r="V386" s="72" t="s">
        <v>14</v>
      </c>
      <c r="W386" s="73"/>
      <c r="X386" s="69">
        <v>3.0</v>
      </c>
      <c r="Y386" s="170" t="s">
        <v>20</v>
      </c>
      <c r="Z386" s="28"/>
      <c r="AA386" s="75"/>
      <c r="AC386" s="22">
        <v>1.0</v>
      </c>
      <c r="AD386" s="52" t="s">
        <v>208</v>
      </c>
    </row>
    <row r="387" ht="14.25" customHeight="1">
      <c r="A387" s="77" t="s">
        <v>5</v>
      </c>
      <c r="B387" s="78"/>
      <c r="C387" s="82">
        <v>2.0</v>
      </c>
      <c r="D387" s="166" t="s">
        <v>18</v>
      </c>
      <c r="E387" s="34"/>
      <c r="F387" s="81"/>
      <c r="H387" s="77" t="s">
        <v>11</v>
      </c>
      <c r="I387" s="78">
        <v>2.0</v>
      </c>
      <c r="J387" s="190">
        <v>1.0</v>
      </c>
      <c r="K387" s="166" t="s">
        <v>5</v>
      </c>
      <c r="L387" s="34"/>
      <c r="M387" s="81"/>
      <c r="O387" s="77" t="s">
        <v>17</v>
      </c>
      <c r="P387" s="78">
        <v>1.0</v>
      </c>
      <c r="Q387" s="190"/>
      <c r="R387" s="166" t="s">
        <v>7</v>
      </c>
      <c r="S387" s="34">
        <v>1.0</v>
      </c>
      <c r="T387" s="81"/>
      <c r="V387" s="77" t="s">
        <v>5</v>
      </c>
      <c r="W387" s="78">
        <v>1.0</v>
      </c>
      <c r="X387" s="82"/>
      <c r="Y387" s="166" t="s">
        <v>13</v>
      </c>
      <c r="Z387" s="34">
        <v>1.0</v>
      </c>
      <c r="AA387" s="81"/>
      <c r="AC387" s="22"/>
      <c r="AD387" s="52" t="s">
        <v>8</v>
      </c>
    </row>
    <row r="388" ht="14.25" customHeight="1">
      <c r="AC388" s="22"/>
    </row>
    <row r="389" ht="14.25" customHeight="1">
      <c r="V389" s="90"/>
      <c r="W389" s="90"/>
      <c r="X389" s="90"/>
      <c r="Y389" s="90"/>
      <c r="Z389" s="90"/>
      <c r="AC389" s="22"/>
    </row>
    <row r="390" ht="14.25" customHeight="1">
      <c r="O390" s="135"/>
      <c r="R390" s="124"/>
      <c r="V390" s="92" t="s">
        <v>3</v>
      </c>
      <c r="W390" s="93"/>
      <c r="X390" s="30"/>
      <c r="Y390" s="50">
        <f>A381+D381+H381+K381+O381+R381+V381+Y381+AC381+AF381</f>
        <v>28</v>
      </c>
      <c r="Z390" s="30"/>
    </row>
    <row r="391" ht="14.25" customHeight="1">
      <c r="O391" s="135"/>
      <c r="R391" s="124"/>
    </row>
    <row r="392" ht="14.25" customHeight="1">
      <c r="O392" s="135"/>
      <c r="R392" s="124"/>
    </row>
    <row r="393" ht="14.25" customHeight="1">
      <c r="P393" s="8">
        <v>44501.0</v>
      </c>
      <c r="Q393" s="2"/>
      <c r="R393" s="2"/>
      <c r="S393" s="3"/>
    </row>
    <row r="394" ht="14.25" customHeight="1">
      <c r="N394" s="23"/>
      <c r="O394" s="23"/>
      <c r="P394" s="193" t="s">
        <v>209</v>
      </c>
      <c r="Q394" s="194"/>
      <c r="R394" s="194"/>
      <c r="S394" s="194"/>
    </row>
    <row r="395" ht="14.25" customHeight="1"/>
    <row r="396" ht="14.25" customHeight="1">
      <c r="A396" s="9">
        <v>9.0</v>
      </c>
      <c r="B396" s="10">
        <v>44502.0</v>
      </c>
      <c r="C396" s="2"/>
      <c r="D396" s="2"/>
      <c r="E396" s="2"/>
      <c r="F396" s="3"/>
      <c r="H396" s="9">
        <v>10.0</v>
      </c>
      <c r="I396" s="10">
        <v>44509.0</v>
      </c>
      <c r="J396" s="2"/>
      <c r="K396" s="2"/>
      <c r="L396" s="2"/>
      <c r="M396" s="3"/>
      <c r="O396" s="9">
        <v>11.0</v>
      </c>
      <c r="P396" s="10">
        <v>44516.0</v>
      </c>
      <c r="Q396" s="2"/>
      <c r="R396" s="2"/>
      <c r="S396" s="2"/>
      <c r="T396" s="3"/>
      <c r="V396" s="9">
        <v>12.0</v>
      </c>
      <c r="W396" s="10">
        <v>44523.0</v>
      </c>
      <c r="X396" s="2"/>
      <c r="Y396" s="2"/>
      <c r="Z396" s="2"/>
      <c r="AA396" s="3"/>
      <c r="AC396" s="9">
        <v>13.0</v>
      </c>
      <c r="AD396" s="10">
        <v>44529.0</v>
      </c>
      <c r="AE396" s="2"/>
      <c r="AF396" s="2"/>
      <c r="AG396" s="2"/>
      <c r="AH396" s="3"/>
    </row>
    <row r="397" ht="14.25" customHeight="1">
      <c r="A397" s="14">
        <v>7.0</v>
      </c>
      <c r="B397" s="2"/>
      <c r="C397" s="3"/>
      <c r="D397" s="15">
        <v>3.0</v>
      </c>
      <c r="E397" s="2"/>
      <c r="F397" s="3"/>
      <c r="H397" s="14">
        <v>4.0</v>
      </c>
      <c r="I397" s="2"/>
      <c r="J397" s="3"/>
      <c r="K397" s="15">
        <v>7.0</v>
      </c>
      <c r="L397" s="2"/>
      <c r="M397" s="3"/>
      <c r="O397" s="14">
        <v>5.0</v>
      </c>
      <c r="P397" s="2"/>
      <c r="Q397" s="3"/>
      <c r="R397" s="15">
        <v>7.0</v>
      </c>
      <c r="S397" s="2"/>
      <c r="T397" s="3"/>
      <c r="V397" s="14">
        <v>4.0</v>
      </c>
      <c r="W397" s="2"/>
      <c r="X397" s="3"/>
      <c r="Y397" s="15">
        <v>6.0</v>
      </c>
      <c r="Z397" s="2"/>
      <c r="AA397" s="3"/>
      <c r="AC397" s="14">
        <v>11.0</v>
      </c>
      <c r="AD397" s="2"/>
      <c r="AE397" s="3"/>
      <c r="AF397" s="15">
        <v>11.0</v>
      </c>
      <c r="AG397" s="2"/>
      <c r="AH397" s="3"/>
    </row>
    <row r="398" ht="12.0" customHeight="1">
      <c r="A398" s="60"/>
      <c r="B398" s="61" t="s">
        <v>69</v>
      </c>
      <c r="C398" s="62" t="s">
        <v>70</v>
      </c>
      <c r="D398" s="63"/>
      <c r="E398" s="64" t="s">
        <v>69</v>
      </c>
      <c r="F398" s="65" t="s">
        <v>70</v>
      </c>
      <c r="H398" s="66"/>
      <c r="I398" s="61" t="s">
        <v>69</v>
      </c>
      <c r="J398" s="62" t="s">
        <v>70</v>
      </c>
      <c r="K398" s="63"/>
      <c r="L398" s="64" t="s">
        <v>69</v>
      </c>
      <c r="M398" s="65" t="s">
        <v>70</v>
      </c>
      <c r="O398" s="66"/>
      <c r="P398" s="61" t="s">
        <v>69</v>
      </c>
      <c r="Q398" s="62" t="s">
        <v>70</v>
      </c>
      <c r="R398" s="63"/>
      <c r="S398" s="64" t="s">
        <v>69</v>
      </c>
      <c r="T398" s="65" t="s">
        <v>70</v>
      </c>
      <c r="V398" s="66"/>
      <c r="W398" s="61" t="s">
        <v>69</v>
      </c>
      <c r="X398" s="62" t="s">
        <v>70</v>
      </c>
      <c r="Y398" s="63"/>
      <c r="Z398" s="64" t="s">
        <v>69</v>
      </c>
      <c r="AA398" s="65" t="s">
        <v>70</v>
      </c>
      <c r="AC398" s="66"/>
      <c r="AD398" s="61" t="s">
        <v>69</v>
      </c>
      <c r="AE398" s="62" t="s">
        <v>70</v>
      </c>
      <c r="AF398" s="63"/>
      <c r="AG398" s="64" t="s">
        <v>69</v>
      </c>
      <c r="AH398" s="65" t="s">
        <v>70</v>
      </c>
    </row>
    <row r="399" ht="14.25" customHeight="1">
      <c r="A399" s="67" t="s">
        <v>14</v>
      </c>
      <c r="B399" s="68">
        <v>2.0</v>
      </c>
      <c r="C399" s="69">
        <v>2.0</v>
      </c>
      <c r="D399" s="169" t="s">
        <v>4</v>
      </c>
      <c r="E399" s="21"/>
      <c r="F399" s="71">
        <v>1.0</v>
      </c>
      <c r="H399" s="67" t="s">
        <v>5</v>
      </c>
      <c r="I399" s="68">
        <v>1.0</v>
      </c>
      <c r="J399" s="69">
        <v>1.0</v>
      </c>
      <c r="K399" s="169" t="s">
        <v>7</v>
      </c>
      <c r="L399" s="21"/>
      <c r="M399" s="71">
        <v>2.0</v>
      </c>
      <c r="O399" s="67" t="s">
        <v>18</v>
      </c>
      <c r="P399" s="68"/>
      <c r="Q399" s="69">
        <v>1.0</v>
      </c>
      <c r="R399" s="169" t="s">
        <v>10</v>
      </c>
      <c r="S399" s="21"/>
      <c r="T399" s="71">
        <v>1.0</v>
      </c>
      <c r="V399" s="67" t="s">
        <v>7</v>
      </c>
      <c r="W399" s="68"/>
      <c r="X399" s="69"/>
      <c r="Y399" s="169" t="s">
        <v>14</v>
      </c>
      <c r="Z399" s="21">
        <v>2.0</v>
      </c>
      <c r="AA399" s="71">
        <v>2.0</v>
      </c>
      <c r="AC399" s="67" t="s">
        <v>6</v>
      </c>
      <c r="AD399" s="68">
        <v>1.0</v>
      </c>
      <c r="AE399" s="69"/>
      <c r="AF399" s="169" t="s">
        <v>18</v>
      </c>
      <c r="AG399" s="21">
        <v>1.0</v>
      </c>
      <c r="AH399" s="71"/>
    </row>
    <row r="400" ht="14.25" customHeight="1">
      <c r="A400" s="72" t="s">
        <v>17</v>
      </c>
      <c r="B400" s="73">
        <v>2.0</v>
      </c>
      <c r="C400" s="69">
        <v>1.0</v>
      </c>
      <c r="D400" s="170" t="s">
        <v>5</v>
      </c>
      <c r="E400" s="28">
        <v>2.0</v>
      </c>
      <c r="F400" s="75"/>
      <c r="H400" s="72" t="s">
        <v>207</v>
      </c>
      <c r="I400" s="73">
        <v>1.0</v>
      </c>
      <c r="J400" s="69">
        <v>1.0</v>
      </c>
      <c r="K400" s="170" t="s">
        <v>18</v>
      </c>
      <c r="L400" s="28">
        <v>1.0</v>
      </c>
      <c r="M400" s="75">
        <v>1.0</v>
      </c>
      <c r="O400" s="72" t="s">
        <v>14</v>
      </c>
      <c r="P400" s="73">
        <v>2.0</v>
      </c>
      <c r="Q400" s="69">
        <v>1.0</v>
      </c>
      <c r="R400" s="170" t="s">
        <v>207</v>
      </c>
      <c r="S400" s="28"/>
      <c r="T400" s="75"/>
      <c r="V400" s="72" t="s">
        <v>10</v>
      </c>
      <c r="W400" s="73"/>
      <c r="X400" s="69">
        <v>2.0</v>
      </c>
      <c r="Y400" s="170" t="s">
        <v>210</v>
      </c>
      <c r="Z400" s="28">
        <v>2.0</v>
      </c>
      <c r="AA400" s="75"/>
      <c r="AC400" s="72" t="s">
        <v>186</v>
      </c>
      <c r="AD400" s="73">
        <v>4.0</v>
      </c>
      <c r="AE400" s="69">
        <v>3.0</v>
      </c>
      <c r="AF400" s="170" t="s">
        <v>5</v>
      </c>
      <c r="AG400" s="28">
        <v>2.0</v>
      </c>
      <c r="AH400" s="75">
        <v>1.0</v>
      </c>
    </row>
    <row r="401" ht="14.25" customHeight="1">
      <c r="A401" s="72" t="s">
        <v>6</v>
      </c>
      <c r="B401" s="73"/>
      <c r="C401" s="69"/>
      <c r="D401" s="170" t="s">
        <v>10</v>
      </c>
      <c r="E401" s="28"/>
      <c r="F401" s="75">
        <v>2.0</v>
      </c>
      <c r="H401" s="72" t="s">
        <v>6</v>
      </c>
      <c r="I401" s="73">
        <v>2.0</v>
      </c>
      <c r="J401" s="69"/>
      <c r="K401" s="170" t="s">
        <v>14</v>
      </c>
      <c r="L401" s="28">
        <v>3.0</v>
      </c>
      <c r="M401" s="75">
        <v>2.0</v>
      </c>
      <c r="O401" s="72" t="s">
        <v>13</v>
      </c>
      <c r="P401" s="73">
        <v>1.0</v>
      </c>
      <c r="Q401" s="69">
        <v>1.0</v>
      </c>
      <c r="R401" s="170" t="s">
        <v>7</v>
      </c>
      <c r="S401" s="28">
        <v>1.0</v>
      </c>
      <c r="T401" s="75">
        <v>1.0</v>
      </c>
      <c r="V401" s="72" t="s">
        <v>17</v>
      </c>
      <c r="W401" s="73"/>
      <c r="X401" s="69"/>
      <c r="Y401" s="170" t="s">
        <v>211</v>
      </c>
      <c r="Z401" s="28">
        <v>2.0</v>
      </c>
      <c r="AA401" s="75">
        <v>1.0</v>
      </c>
      <c r="AC401" s="72" t="s">
        <v>14</v>
      </c>
      <c r="AD401" s="73">
        <v>1.0</v>
      </c>
      <c r="AE401" s="69"/>
      <c r="AF401" s="170" t="s">
        <v>54</v>
      </c>
      <c r="AG401" s="28">
        <v>1.0</v>
      </c>
      <c r="AH401" s="75">
        <v>1.0</v>
      </c>
    </row>
    <row r="402" ht="14.25" customHeight="1">
      <c r="A402" s="72" t="s">
        <v>13</v>
      </c>
      <c r="B402" s="73">
        <v>2.0</v>
      </c>
      <c r="C402" s="69">
        <v>1.0</v>
      </c>
      <c r="D402" s="170" t="s">
        <v>18</v>
      </c>
      <c r="E402" s="28"/>
      <c r="F402" s="75"/>
      <c r="H402" s="72" t="s">
        <v>10</v>
      </c>
      <c r="I402" s="73"/>
      <c r="J402" s="69"/>
      <c r="K402" s="170" t="s">
        <v>17</v>
      </c>
      <c r="L402" s="28">
        <v>1.0</v>
      </c>
      <c r="M402" s="75"/>
      <c r="O402" s="72" t="s">
        <v>4</v>
      </c>
      <c r="P402" s="73">
        <v>1.0</v>
      </c>
      <c r="Q402" s="69">
        <v>1.0</v>
      </c>
      <c r="R402" s="170" t="s">
        <v>211</v>
      </c>
      <c r="S402" s="28">
        <v>3.0</v>
      </c>
      <c r="T402" s="75">
        <v>2.0</v>
      </c>
      <c r="V402" s="72" t="s">
        <v>166</v>
      </c>
      <c r="W402" s="73">
        <v>3.0</v>
      </c>
      <c r="X402" s="69">
        <v>1.0</v>
      </c>
      <c r="Y402" s="170" t="s">
        <v>18</v>
      </c>
      <c r="Z402" s="28"/>
      <c r="AA402" s="75"/>
      <c r="AC402" s="72" t="s">
        <v>39</v>
      </c>
      <c r="AD402" s="73">
        <v>1.0</v>
      </c>
      <c r="AE402" s="69"/>
      <c r="AF402" s="170" t="s">
        <v>7</v>
      </c>
      <c r="AG402" s="28">
        <v>3.0</v>
      </c>
      <c r="AH402" s="75">
        <v>2.0</v>
      </c>
    </row>
    <row r="403" ht="14.25" customHeight="1">
      <c r="A403" s="77" t="s">
        <v>7</v>
      </c>
      <c r="B403" s="78">
        <v>1.0</v>
      </c>
      <c r="C403" s="82">
        <v>1.0</v>
      </c>
      <c r="D403" s="166" t="s">
        <v>166</v>
      </c>
      <c r="E403" s="34">
        <v>1.0</v>
      </c>
      <c r="F403" s="81"/>
      <c r="H403" s="77" t="s">
        <v>13</v>
      </c>
      <c r="I403" s="78"/>
      <c r="J403" s="82">
        <v>1.0</v>
      </c>
      <c r="K403" s="166" t="s">
        <v>39</v>
      </c>
      <c r="L403" s="34">
        <v>2.0</v>
      </c>
      <c r="M403" s="81">
        <v>1.0</v>
      </c>
      <c r="O403" s="77" t="s">
        <v>20</v>
      </c>
      <c r="P403" s="78">
        <v>1.0</v>
      </c>
      <c r="Q403" s="82">
        <v>1.0</v>
      </c>
      <c r="R403" s="166" t="s">
        <v>5</v>
      </c>
      <c r="S403" s="34">
        <v>2.0</v>
      </c>
      <c r="T403" s="81"/>
      <c r="V403" s="77" t="s">
        <v>13</v>
      </c>
      <c r="W403" s="78">
        <v>1.0</v>
      </c>
      <c r="X403" s="82">
        <v>1.0</v>
      </c>
      <c r="Y403" s="166" t="s">
        <v>9</v>
      </c>
      <c r="Z403" s="34"/>
      <c r="AA403" s="81"/>
      <c r="AC403" s="77" t="s">
        <v>212</v>
      </c>
      <c r="AD403" s="78">
        <v>3.0</v>
      </c>
      <c r="AE403" s="82">
        <v>2.0</v>
      </c>
      <c r="AF403" s="166" t="s">
        <v>166</v>
      </c>
      <c r="AG403" s="34">
        <v>1.0</v>
      </c>
      <c r="AH403" s="81">
        <v>1.0</v>
      </c>
    </row>
    <row r="404" ht="14.25" customHeight="1">
      <c r="R404" s="167" t="s">
        <v>102</v>
      </c>
      <c r="S404" s="167">
        <v>1.0</v>
      </c>
      <c r="V404" s="195"/>
      <c r="W404" s="196"/>
      <c r="X404" s="197"/>
      <c r="Y404" s="198"/>
      <c r="Z404" s="198"/>
      <c r="AA404" s="181"/>
      <c r="AC404" s="77" t="s">
        <v>213</v>
      </c>
      <c r="AD404" s="78">
        <v>1.0</v>
      </c>
      <c r="AF404" s="166" t="s">
        <v>214</v>
      </c>
      <c r="AG404" s="34">
        <v>2.0</v>
      </c>
    </row>
    <row r="405" ht="14.25" customHeight="1">
      <c r="V405" s="90"/>
      <c r="W405" s="90"/>
      <c r="X405" s="90"/>
      <c r="Y405" s="90"/>
      <c r="Z405" s="90"/>
      <c r="AF405" s="166" t="s">
        <v>215</v>
      </c>
      <c r="AG405" s="34">
        <v>1.0</v>
      </c>
    </row>
    <row r="406" ht="14.25" customHeight="1">
      <c r="A406" s="51" t="s">
        <v>216</v>
      </c>
      <c r="B406" s="2"/>
      <c r="C406" s="2"/>
      <c r="D406" s="2"/>
      <c r="E406" s="3"/>
      <c r="V406" s="92" t="s">
        <v>3</v>
      </c>
      <c r="W406" s="93"/>
      <c r="X406" s="30"/>
      <c r="Y406" s="50">
        <f>A397+D397+H397+K397+O397+R397+V397+Y397+AC397+AF397</f>
        <v>65</v>
      </c>
      <c r="Z406" s="30"/>
    </row>
    <row r="407" ht="14.25" customHeight="1"/>
    <row r="408" ht="14.25" customHeight="1">
      <c r="A408" s="22">
        <v>10.0</v>
      </c>
      <c r="B408" s="52" t="s">
        <v>36</v>
      </c>
    </row>
    <row r="409" ht="14.25" customHeight="1">
      <c r="A409" s="22">
        <v>7.0</v>
      </c>
      <c r="B409" s="52" t="s">
        <v>8</v>
      </c>
    </row>
    <row r="410" ht="14.25" customHeight="1">
      <c r="A410" s="22">
        <v>5.0</v>
      </c>
      <c r="B410" s="52" t="s">
        <v>217</v>
      </c>
    </row>
    <row r="411" ht="14.25" customHeight="1">
      <c r="A411" s="22">
        <v>4.0</v>
      </c>
      <c r="B411" s="52" t="s">
        <v>218</v>
      </c>
    </row>
    <row r="412" ht="14.25" customHeight="1">
      <c r="A412" s="22">
        <v>3.0</v>
      </c>
      <c r="B412" s="52" t="s">
        <v>219</v>
      </c>
    </row>
    <row r="413" ht="14.25" customHeight="1">
      <c r="A413" s="22">
        <v>2.0</v>
      </c>
      <c r="B413" s="52" t="s">
        <v>220</v>
      </c>
    </row>
    <row r="414" ht="14.25" customHeight="1">
      <c r="A414" s="22">
        <v>1.0</v>
      </c>
      <c r="B414" s="52" t="s">
        <v>221</v>
      </c>
    </row>
    <row r="415" ht="14.25" customHeight="1">
      <c r="A415" s="22">
        <v>2.0</v>
      </c>
      <c r="B415" s="52" t="s">
        <v>222</v>
      </c>
    </row>
    <row r="416" ht="14.25" customHeight="1">
      <c r="A416" s="22">
        <v>1.0</v>
      </c>
      <c r="B416" s="52" t="s">
        <v>223</v>
      </c>
    </row>
    <row r="417" ht="14.25" customHeight="1">
      <c r="A417" s="22"/>
    </row>
    <row r="418" ht="14.25" customHeight="1">
      <c r="A418" s="22"/>
    </row>
    <row r="419" ht="14.25" customHeight="1">
      <c r="P419" s="8">
        <v>44531.0</v>
      </c>
      <c r="Q419" s="2"/>
      <c r="R419" s="2"/>
      <c r="S419" s="3"/>
    </row>
    <row r="420" ht="14.25" customHeight="1"/>
    <row r="421" ht="14.25" customHeight="1">
      <c r="A421" s="9">
        <v>14.0</v>
      </c>
      <c r="B421" s="10">
        <v>44537.0</v>
      </c>
      <c r="C421" s="2"/>
      <c r="D421" s="2"/>
      <c r="E421" s="2"/>
      <c r="F421" s="3"/>
      <c r="H421" s="9">
        <v>15.0</v>
      </c>
      <c r="I421" s="10">
        <v>44544.0</v>
      </c>
      <c r="J421" s="2"/>
      <c r="K421" s="2"/>
      <c r="L421" s="2"/>
      <c r="M421" s="3"/>
      <c r="O421" s="9">
        <v>16.0</v>
      </c>
      <c r="P421" s="10">
        <v>44551.0</v>
      </c>
      <c r="Q421" s="2"/>
      <c r="R421" s="2"/>
      <c r="S421" s="2"/>
      <c r="T421" s="3"/>
      <c r="V421" s="9">
        <v>17.0</v>
      </c>
      <c r="W421" s="10">
        <v>44558.0</v>
      </c>
      <c r="X421" s="2"/>
      <c r="Y421" s="2"/>
      <c r="Z421" s="2"/>
      <c r="AA421" s="3"/>
      <c r="AC421" s="51" t="s">
        <v>224</v>
      </c>
      <c r="AD421" s="2"/>
      <c r="AE421" s="2"/>
      <c r="AF421" s="2"/>
      <c r="AG421" s="3"/>
    </row>
    <row r="422" ht="14.25" customHeight="1">
      <c r="A422" s="14">
        <v>6.0</v>
      </c>
      <c r="B422" s="2"/>
      <c r="C422" s="3"/>
      <c r="D422" s="15">
        <v>5.0</v>
      </c>
      <c r="E422" s="2"/>
      <c r="F422" s="3"/>
      <c r="H422" s="14">
        <v>9.0</v>
      </c>
      <c r="I422" s="2"/>
      <c r="J422" s="3"/>
      <c r="K422" s="15">
        <v>11.0</v>
      </c>
      <c r="L422" s="2"/>
      <c r="M422" s="3"/>
      <c r="O422" s="14">
        <v>9.0</v>
      </c>
      <c r="P422" s="2"/>
      <c r="Q422" s="3"/>
      <c r="R422" s="15">
        <v>10.0</v>
      </c>
      <c r="S422" s="2"/>
      <c r="T422" s="3"/>
      <c r="V422" s="14">
        <v>11.0</v>
      </c>
      <c r="W422" s="2"/>
      <c r="X422" s="3"/>
      <c r="Y422" s="15">
        <v>7.0</v>
      </c>
      <c r="Z422" s="2"/>
      <c r="AA422" s="3"/>
    </row>
    <row r="423" ht="12.0" customHeight="1">
      <c r="A423" s="66"/>
      <c r="B423" s="61" t="s">
        <v>69</v>
      </c>
      <c r="C423" s="62" t="s">
        <v>70</v>
      </c>
      <c r="D423" s="63"/>
      <c r="E423" s="64" t="s">
        <v>69</v>
      </c>
      <c r="F423" s="65" t="s">
        <v>70</v>
      </c>
      <c r="H423" s="66"/>
      <c r="I423" s="61" t="s">
        <v>69</v>
      </c>
      <c r="J423" s="61" t="s">
        <v>70</v>
      </c>
      <c r="K423" s="63"/>
      <c r="L423" s="64" t="s">
        <v>69</v>
      </c>
      <c r="M423" s="65" t="s">
        <v>70</v>
      </c>
      <c r="O423" s="66"/>
      <c r="P423" s="61" t="s">
        <v>69</v>
      </c>
      <c r="Q423" s="62" t="s">
        <v>70</v>
      </c>
      <c r="R423" s="63"/>
      <c r="S423" s="64" t="s">
        <v>69</v>
      </c>
      <c r="T423" s="65" t="s">
        <v>70</v>
      </c>
      <c r="V423" s="66"/>
      <c r="W423" s="61" t="s">
        <v>69</v>
      </c>
      <c r="X423" s="62" t="s">
        <v>70</v>
      </c>
      <c r="Y423" s="63"/>
      <c r="Z423" s="64" t="s">
        <v>69</v>
      </c>
      <c r="AA423" s="65" t="s">
        <v>70</v>
      </c>
      <c r="AC423" s="22">
        <v>12.0</v>
      </c>
      <c r="AD423" s="52" t="s">
        <v>182</v>
      </c>
    </row>
    <row r="424" ht="14.25" customHeight="1">
      <c r="A424" s="67" t="s">
        <v>5</v>
      </c>
      <c r="B424" s="68">
        <v>2.0</v>
      </c>
      <c r="C424" s="69"/>
      <c r="D424" s="169" t="s">
        <v>20</v>
      </c>
      <c r="E424" s="21"/>
      <c r="F424" s="71"/>
      <c r="H424" s="67" t="s">
        <v>6</v>
      </c>
      <c r="I424" s="68">
        <v>1.0</v>
      </c>
      <c r="J424" s="191"/>
      <c r="K424" s="169" t="s">
        <v>18</v>
      </c>
      <c r="L424" s="21"/>
      <c r="M424" s="71"/>
      <c r="O424" s="67" t="s">
        <v>10</v>
      </c>
      <c r="P424" s="68">
        <v>1.0</v>
      </c>
      <c r="Q424" s="69">
        <v>3.0</v>
      </c>
      <c r="R424" s="169" t="s">
        <v>175</v>
      </c>
      <c r="S424" s="21"/>
      <c r="T424" s="71"/>
      <c r="V424" s="67" t="s">
        <v>186</v>
      </c>
      <c r="W424" s="68">
        <v>4.0</v>
      </c>
      <c r="X424" s="69">
        <v>2.0</v>
      </c>
      <c r="Y424" s="169" t="s">
        <v>5</v>
      </c>
      <c r="Z424" s="21">
        <v>2.0</v>
      </c>
      <c r="AA424" s="71"/>
      <c r="AC424" s="22">
        <v>9.0</v>
      </c>
      <c r="AD424" s="52" t="s">
        <v>8</v>
      </c>
    </row>
    <row r="425" ht="14.25" customHeight="1">
      <c r="A425" s="72" t="s">
        <v>212</v>
      </c>
      <c r="B425" s="73">
        <v>1.0</v>
      </c>
      <c r="C425" s="69">
        <v>1.0</v>
      </c>
      <c r="D425" s="170" t="s">
        <v>4</v>
      </c>
      <c r="E425" s="28">
        <v>3.0</v>
      </c>
      <c r="F425" s="75">
        <v>1.0</v>
      </c>
      <c r="H425" s="72" t="s">
        <v>186</v>
      </c>
      <c r="I425" s="73">
        <v>5.0</v>
      </c>
      <c r="J425" s="191">
        <v>2.0</v>
      </c>
      <c r="K425" s="170" t="s">
        <v>10</v>
      </c>
      <c r="L425" s="28">
        <v>3.0</v>
      </c>
      <c r="M425" s="75">
        <v>1.0</v>
      </c>
      <c r="O425" s="72" t="s">
        <v>7</v>
      </c>
      <c r="P425" s="73"/>
      <c r="Q425" s="69">
        <v>2.0</v>
      </c>
      <c r="R425" s="170" t="s">
        <v>186</v>
      </c>
      <c r="S425" s="28">
        <v>3.0</v>
      </c>
      <c r="T425" s="75">
        <v>3.0</v>
      </c>
      <c r="V425" s="72" t="s">
        <v>225</v>
      </c>
      <c r="W425" s="73">
        <v>2.0</v>
      </c>
      <c r="X425" s="69">
        <v>1.0</v>
      </c>
      <c r="Y425" s="170" t="s">
        <v>153</v>
      </c>
      <c r="Z425" s="28">
        <v>2.0</v>
      </c>
      <c r="AA425" s="75">
        <v>1.0</v>
      </c>
      <c r="AC425" s="22">
        <v>7.0</v>
      </c>
      <c r="AD425" s="52" t="s">
        <v>226</v>
      </c>
    </row>
    <row r="426" ht="14.25" customHeight="1">
      <c r="A426" s="72" t="s">
        <v>10</v>
      </c>
      <c r="B426" s="73">
        <v>1.0</v>
      </c>
      <c r="C426" s="69">
        <v>2.0</v>
      </c>
      <c r="D426" s="170" t="s">
        <v>13</v>
      </c>
      <c r="E426" s="28">
        <v>1.0</v>
      </c>
      <c r="F426" s="75">
        <v>2.0</v>
      </c>
      <c r="H426" s="72" t="s">
        <v>225</v>
      </c>
      <c r="I426" s="73"/>
      <c r="J426" s="191"/>
      <c r="K426" s="170" t="s">
        <v>7</v>
      </c>
      <c r="L426" s="28">
        <v>1.0</v>
      </c>
      <c r="M426" s="75">
        <v>2.0</v>
      </c>
      <c r="O426" s="72" t="s">
        <v>18</v>
      </c>
      <c r="P426" s="73"/>
      <c r="Q426" s="69"/>
      <c r="R426" s="170" t="s">
        <v>166</v>
      </c>
      <c r="S426" s="28">
        <v>1.0</v>
      </c>
      <c r="T426" s="75">
        <v>1.0</v>
      </c>
      <c r="V426" s="72" t="s">
        <v>210</v>
      </c>
      <c r="W426" s="73">
        <v>1.0</v>
      </c>
      <c r="X426" s="69"/>
      <c r="Y426" s="170" t="s">
        <v>212</v>
      </c>
      <c r="Z426" s="28"/>
      <c r="AA426" s="75"/>
      <c r="AC426" s="22">
        <v>6.0</v>
      </c>
      <c r="AD426" s="52" t="s">
        <v>49</v>
      </c>
    </row>
    <row r="427" ht="14.25" customHeight="1">
      <c r="A427" s="72" t="s">
        <v>166</v>
      </c>
      <c r="B427" s="73">
        <v>1.0</v>
      </c>
      <c r="C427" s="69"/>
      <c r="D427" s="170" t="s">
        <v>18</v>
      </c>
      <c r="E427" s="28"/>
      <c r="F427" s="75"/>
      <c r="H427" s="72" t="s">
        <v>57</v>
      </c>
      <c r="I427" s="73">
        <v>1.0</v>
      </c>
      <c r="J427" s="191"/>
      <c r="K427" s="170" t="s">
        <v>207</v>
      </c>
      <c r="L427" s="28">
        <v>4.0</v>
      </c>
      <c r="M427" s="75">
        <v>2.0</v>
      </c>
      <c r="O427" s="72" t="s">
        <v>212</v>
      </c>
      <c r="P427" s="73">
        <v>2.0</v>
      </c>
      <c r="Q427" s="69"/>
      <c r="R427" s="170" t="s">
        <v>225</v>
      </c>
      <c r="S427" s="28">
        <v>4.0</v>
      </c>
      <c r="T427" s="75"/>
      <c r="V427" s="72" t="s">
        <v>18</v>
      </c>
      <c r="W427" s="73"/>
      <c r="X427" s="69"/>
      <c r="Y427" s="170" t="s">
        <v>17</v>
      </c>
      <c r="Z427" s="28">
        <v>2.0</v>
      </c>
      <c r="AA427" s="75">
        <v>1.0</v>
      </c>
      <c r="AC427" s="22">
        <v>5.0</v>
      </c>
      <c r="AD427" s="52" t="s">
        <v>82</v>
      </c>
    </row>
    <row r="428" ht="14.25" customHeight="1">
      <c r="A428" s="77" t="s">
        <v>225</v>
      </c>
      <c r="B428" s="78">
        <v>1.0</v>
      </c>
      <c r="C428" s="82">
        <v>1.0</v>
      </c>
      <c r="D428" s="166" t="s">
        <v>17</v>
      </c>
      <c r="E428" s="34">
        <v>1.0</v>
      </c>
      <c r="F428" s="81"/>
      <c r="H428" s="77" t="s">
        <v>166</v>
      </c>
      <c r="I428" s="78">
        <v>1.0</v>
      </c>
      <c r="J428" s="190"/>
      <c r="K428" s="166" t="s">
        <v>227</v>
      </c>
      <c r="L428" s="34">
        <v>3.0</v>
      </c>
      <c r="M428" s="81"/>
      <c r="O428" s="77" t="s">
        <v>5</v>
      </c>
      <c r="P428" s="78">
        <v>5.0</v>
      </c>
      <c r="Q428" s="190">
        <v>1.0</v>
      </c>
      <c r="R428" s="166" t="s">
        <v>210</v>
      </c>
      <c r="S428" s="34">
        <v>2.0</v>
      </c>
      <c r="T428" s="81"/>
      <c r="V428" s="77" t="s">
        <v>4</v>
      </c>
      <c r="W428" s="78">
        <v>3.0</v>
      </c>
      <c r="X428" s="82">
        <v>2.0</v>
      </c>
      <c r="Y428" s="166" t="s">
        <v>7</v>
      </c>
      <c r="Z428" s="34"/>
      <c r="AA428" s="81">
        <v>3.0</v>
      </c>
      <c r="AC428" s="22">
        <v>4.0</v>
      </c>
      <c r="AD428" s="52" t="s">
        <v>228</v>
      </c>
    </row>
    <row r="429" ht="14.25" customHeight="1">
      <c r="H429" s="77" t="s">
        <v>114</v>
      </c>
      <c r="I429" s="78">
        <v>1.0</v>
      </c>
      <c r="K429" s="124"/>
      <c r="L429" s="124"/>
      <c r="O429" s="77" t="s">
        <v>229</v>
      </c>
      <c r="P429" s="78">
        <v>1.0</v>
      </c>
      <c r="V429" s="77" t="s">
        <v>213</v>
      </c>
      <c r="W429" s="78">
        <v>1.0</v>
      </c>
      <c r="Y429" s="166" t="s">
        <v>229</v>
      </c>
      <c r="Z429" s="34">
        <v>1.0</v>
      </c>
      <c r="AC429" s="22">
        <v>3.0</v>
      </c>
      <c r="AD429" s="52" t="s">
        <v>230</v>
      </c>
    </row>
    <row r="430" ht="14.25" customHeight="1">
      <c r="AC430" s="22"/>
      <c r="AD430" s="52" t="s">
        <v>231</v>
      </c>
    </row>
    <row r="431" ht="14.25" customHeight="1">
      <c r="V431" s="90"/>
      <c r="W431" s="90"/>
      <c r="X431" s="90"/>
      <c r="Y431" s="90"/>
      <c r="Z431" s="90"/>
      <c r="AC431" s="22">
        <v>2.0</v>
      </c>
      <c r="AD431" s="52" t="s">
        <v>232</v>
      </c>
    </row>
    <row r="432" ht="14.25" customHeight="1">
      <c r="V432" s="92" t="s">
        <v>3</v>
      </c>
      <c r="W432" s="93"/>
      <c r="X432" s="30"/>
      <c r="Y432" s="50">
        <f>A422+D422+H422+K422+O422+R422+V422+Y422</f>
        <v>68</v>
      </c>
      <c r="Z432" s="30"/>
      <c r="AC432" s="22">
        <v>1.0</v>
      </c>
      <c r="AD432" s="52" t="s">
        <v>233</v>
      </c>
    </row>
    <row r="433" ht="14.25" customHeight="1">
      <c r="AC433" s="199"/>
      <c r="AD433" s="90" t="s">
        <v>234</v>
      </c>
      <c r="AE433" s="90"/>
      <c r="AF433" s="90"/>
      <c r="AG433" s="90"/>
    </row>
    <row r="434" ht="14.25" customHeight="1">
      <c r="AC434" s="22">
        <v>2.0</v>
      </c>
      <c r="AD434" s="52" t="s">
        <v>235</v>
      </c>
    </row>
    <row r="435" ht="14.25" customHeight="1">
      <c r="AC435" s="22">
        <v>1.0</v>
      </c>
      <c r="AD435" s="52" t="s">
        <v>236</v>
      </c>
    </row>
    <row r="436" ht="14.25" customHeight="1">
      <c r="AC436" s="22">
        <v>1.0</v>
      </c>
      <c r="AD436" s="52" t="s">
        <v>237</v>
      </c>
    </row>
    <row r="437" ht="14.25" customHeight="1">
      <c r="P437" s="8">
        <v>44562.0</v>
      </c>
      <c r="Q437" s="2"/>
      <c r="R437" s="2"/>
      <c r="S437" s="3"/>
    </row>
    <row r="438" ht="14.25" customHeight="1"/>
    <row r="439" ht="18.75" customHeight="1">
      <c r="A439" s="9">
        <v>18.0</v>
      </c>
      <c r="B439" s="10">
        <v>44565.0</v>
      </c>
      <c r="C439" s="2"/>
      <c r="D439" s="2"/>
      <c r="E439" s="2"/>
      <c r="F439" s="3"/>
      <c r="H439" s="9">
        <v>19.0</v>
      </c>
      <c r="I439" s="10">
        <v>44572.0</v>
      </c>
      <c r="J439" s="2"/>
      <c r="K439" s="2"/>
      <c r="L439" s="2"/>
      <c r="M439" s="3"/>
      <c r="O439" s="9">
        <v>20.0</v>
      </c>
      <c r="P439" s="10">
        <v>44579.0</v>
      </c>
      <c r="Q439" s="2"/>
      <c r="R439" s="2"/>
      <c r="S439" s="2"/>
      <c r="T439" s="3"/>
      <c r="V439" s="9">
        <v>21.0</v>
      </c>
      <c r="W439" s="10">
        <v>44586.0</v>
      </c>
      <c r="X439" s="2"/>
      <c r="Y439" s="2"/>
      <c r="Z439" s="2"/>
      <c r="AA439" s="3"/>
      <c r="AC439" s="51" t="s">
        <v>238</v>
      </c>
      <c r="AD439" s="2"/>
      <c r="AE439" s="2"/>
      <c r="AF439" s="2"/>
      <c r="AG439" s="3"/>
    </row>
    <row r="440" ht="14.25" customHeight="1">
      <c r="A440" s="14">
        <v>7.0</v>
      </c>
      <c r="B440" s="2"/>
      <c r="C440" s="3"/>
      <c r="D440" s="15">
        <v>7.0</v>
      </c>
      <c r="E440" s="2"/>
      <c r="F440" s="3"/>
      <c r="H440" s="14">
        <v>5.0</v>
      </c>
      <c r="I440" s="2"/>
      <c r="J440" s="3"/>
      <c r="K440" s="15">
        <v>7.0</v>
      </c>
      <c r="L440" s="2"/>
      <c r="M440" s="3"/>
      <c r="O440" s="14">
        <v>3.0</v>
      </c>
      <c r="P440" s="2"/>
      <c r="Q440" s="3"/>
      <c r="R440" s="15">
        <v>3.0</v>
      </c>
      <c r="S440" s="2"/>
      <c r="T440" s="3"/>
      <c r="V440" s="14">
        <v>7.0</v>
      </c>
      <c r="W440" s="2"/>
      <c r="X440" s="3"/>
      <c r="Y440" s="15">
        <v>5.0</v>
      </c>
      <c r="Z440" s="2"/>
      <c r="AA440" s="3"/>
    </row>
    <row r="441" ht="12.0" customHeight="1">
      <c r="A441" s="66"/>
      <c r="B441" s="61" t="s">
        <v>69</v>
      </c>
      <c r="C441" s="62" t="s">
        <v>70</v>
      </c>
      <c r="D441" s="63"/>
      <c r="E441" s="64" t="s">
        <v>69</v>
      </c>
      <c r="F441" s="65" t="s">
        <v>70</v>
      </c>
      <c r="H441" s="66"/>
      <c r="I441" s="61" t="s">
        <v>69</v>
      </c>
      <c r="J441" s="61" t="s">
        <v>70</v>
      </c>
      <c r="K441" s="63"/>
      <c r="L441" s="64" t="s">
        <v>69</v>
      </c>
      <c r="M441" s="65" t="s">
        <v>70</v>
      </c>
      <c r="O441" s="66"/>
      <c r="P441" s="61" t="s">
        <v>69</v>
      </c>
      <c r="Q441" s="62" t="s">
        <v>70</v>
      </c>
      <c r="R441" s="63"/>
      <c r="S441" s="64" t="s">
        <v>69</v>
      </c>
      <c r="T441" s="65" t="s">
        <v>70</v>
      </c>
      <c r="V441" s="66"/>
      <c r="W441" s="61" t="s">
        <v>69</v>
      </c>
      <c r="X441" s="62" t="s">
        <v>70</v>
      </c>
      <c r="Y441" s="63"/>
      <c r="Z441" s="64" t="s">
        <v>69</v>
      </c>
      <c r="AA441" s="65" t="s">
        <v>70</v>
      </c>
      <c r="AC441" s="22">
        <v>8.0</v>
      </c>
      <c r="AD441" s="52" t="s">
        <v>203</v>
      </c>
    </row>
    <row r="442" ht="14.25" customHeight="1">
      <c r="A442" s="67" t="s">
        <v>166</v>
      </c>
      <c r="B442" s="68">
        <v>3.0</v>
      </c>
      <c r="C442" s="69"/>
      <c r="D442" s="169" t="s">
        <v>10</v>
      </c>
      <c r="E442" s="21"/>
      <c r="F442" s="71">
        <v>1.0</v>
      </c>
      <c r="H442" s="67" t="s">
        <v>227</v>
      </c>
      <c r="I442" s="68">
        <v>1.0</v>
      </c>
      <c r="J442" s="191">
        <v>2.0</v>
      </c>
      <c r="K442" s="169" t="s">
        <v>7</v>
      </c>
      <c r="L442" s="21">
        <v>2.0</v>
      </c>
      <c r="M442" s="71">
        <v>2.0</v>
      </c>
      <c r="O442" s="67" t="s">
        <v>227</v>
      </c>
      <c r="P442" s="68">
        <v>2.0</v>
      </c>
      <c r="Q442" s="69"/>
      <c r="R442" s="169" t="s">
        <v>7</v>
      </c>
      <c r="S442" s="21"/>
      <c r="T442" s="71">
        <v>1.0</v>
      </c>
      <c r="V442" s="67" t="s">
        <v>10</v>
      </c>
      <c r="W442" s="68"/>
      <c r="X442" s="69"/>
      <c r="Y442" s="169" t="s">
        <v>20</v>
      </c>
      <c r="Z442" s="21"/>
      <c r="AA442" s="71"/>
      <c r="AC442" s="22">
        <v>7.0</v>
      </c>
      <c r="AD442" s="52" t="s">
        <v>226</v>
      </c>
    </row>
    <row r="443" ht="14.25" customHeight="1">
      <c r="A443" s="72" t="s">
        <v>211</v>
      </c>
      <c r="B443" s="73">
        <v>1.0</v>
      </c>
      <c r="C443" s="69"/>
      <c r="D443" s="170" t="s">
        <v>7</v>
      </c>
      <c r="E443" s="28">
        <v>1.0</v>
      </c>
      <c r="F443" s="75">
        <v>2.0</v>
      </c>
      <c r="H443" s="72" t="s">
        <v>239</v>
      </c>
      <c r="I443" s="73"/>
      <c r="J443" s="191"/>
      <c r="K443" s="170" t="s">
        <v>5</v>
      </c>
      <c r="L443" s="28">
        <v>1.0</v>
      </c>
      <c r="M443" s="75">
        <v>1.0</v>
      </c>
      <c r="O443" s="72" t="s">
        <v>239</v>
      </c>
      <c r="P443" s="73"/>
      <c r="Q443" s="69">
        <v>1.0</v>
      </c>
      <c r="R443" s="170" t="s">
        <v>5</v>
      </c>
      <c r="S443" s="28">
        <v>2.0</v>
      </c>
      <c r="T443" s="75">
        <v>1.0</v>
      </c>
      <c r="V443" s="72" t="s">
        <v>7</v>
      </c>
      <c r="W443" s="73">
        <v>3.0</v>
      </c>
      <c r="X443" s="69"/>
      <c r="Y443" s="170" t="s">
        <v>166</v>
      </c>
      <c r="Z443" s="28">
        <v>3.0</v>
      </c>
      <c r="AA443" s="75"/>
      <c r="AC443" s="22">
        <v>6.0</v>
      </c>
      <c r="AD443" s="52" t="s">
        <v>29</v>
      </c>
    </row>
    <row r="444" ht="14.25" customHeight="1">
      <c r="A444" s="72" t="s">
        <v>225</v>
      </c>
      <c r="B444" s="73">
        <v>2.0</v>
      </c>
      <c r="C444" s="69">
        <v>1.0</v>
      </c>
      <c r="D444" s="170" t="s">
        <v>212</v>
      </c>
      <c r="E444" s="28">
        <v>2.0</v>
      </c>
      <c r="F444" s="75"/>
      <c r="H444" s="72" t="s">
        <v>17</v>
      </c>
      <c r="I444" s="73">
        <v>1.0</v>
      </c>
      <c r="J444" s="191"/>
      <c r="K444" s="170" t="s">
        <v>10</v>
      </c>
      <c r="L444" s="28"/>
      <c r="M444" s="75"/>
      <c r="O444" s="72" t="s">
        <v>17</v>
      </c>
      <c r="P444" s="73">
        <v>1.0</v>
      </c>
      <c r="Q444" s="69"/>
      <c r="R444" s="170" t="s">
        <v>10</v>
      </c>
      <c r="S444" s="28"/>
      <c r="T444" s="75"/>
      <c r="V444" s="72" t="s">
        <v>17</v>
      </c>
      <c r="W444" s="73">
        <v>2.0</v>
      </c>
      <c r="X444" s="69">
        <v>3.0</v>
      </c>
      <c r="Y444" s="170" t="s">
        <v>225</v>
      </c>
      <c r="Z444" s="28">
        <v>2.0</v>
      </c>
      <c r="AA444" s="75"/>
      <c r="AC444" s="22">
        <v>5.0</v>
      </c>
      <c r="AD444" s="52" t="s">
        <v>8</v>
      </c>
    </row>
    <row r="445" ht="14.25" customHeight="1">
      <c r="A445" s="72" t="s">
        <v>153</v>
      </c>
      <c r="B445" s="73"/>
      <c r="C445" s="69">
        <v>1.0</v>
      </c>
      <c r="D445" s="170" t="s">
        <v>39</v>
      </c>
      <c r="E445" s="28">
        <v>2.0</v>
      </c>
      <c r="F445" s="75">
        <v>2.0</v>
      </c>
      <c r="H445" s="72" t="s">
        <v>175</v>
      </c>
      <c r="I445" s="73">
        <v>1.0</v>
      </c>
      <c r="J445" s="191">
        <v>1.0</v>
      </c>
      <c r="K445" s="170" t="s">
        <v>225</v>
      </c>
      <c r="L445" s="28">
        <v>2.0</v>
      </c>
      <c r="M445" s="75"/>
      <c r="O445" s="72" t="s">
        <v>175</v>
      </c>
      <c r="P445" s="73"/>
      <c r="Q445" s="69"/>
      <c r="R445" s="170" t="s">
        <v>225</v>
      </c>
      <c r="S445" s="28">
        <v>1.0</v>
      </c>
      <c r="T445" s="75">
        <v>1.0</v>
      </c>
      <c r="V445" s="72" t="s">
        <v>212</v>
      </c>
      <c r="W445" s="73"/>
      <c r="X445" s="69">
        <v>3.0</v>
      </c>
      <c r="Y445" s="170" t="s">
        <v>153</v>
      </c>
      <c r="Z445" s="28"/>
      <c r="AA445" s="75">
        <v>1.0</v>
      </c>
      <c r="AC445" s="22">
        <v>4.0</v>
      </c>
      <c r="AD445" s="52" t="s">
        <v>61</v>
      </c>
    </row>
    <row r="446" ht="14.25" customHeight="1">
      <c r="A446" s="77" t="s">
        <v>210</v>
      </c>
      <c r="B446" s="78"/>
      <c r="C446" s="82"/>
      <c r="D446" s="166" t="s">
        <v>54</v>
      </c>
      <c r="E446" s="34">
        <v>2.0</v>
      </c>
      <c r="F446" s="81"/>
      <c r="H446" s="77" t="s">
        <v>20</v>
      </c>
      <c r="I446" s="78">
        <v>1.0</v>
      </c>
      <c r="J446" s="190"/>
      <c r="K446" s="166" t="s">
        <v>166</v>
      </c>
      <c r="L446" s="34">
        <v>2.0</v>
      </c>
      <c r="M446" s="81">
        <v>1.0</v>
      </c>
      <c r="O446" s="77" t="s">
        <v>20</v>
      </c>
      <c r="P446" s="78"/>
      <c r="Q446" s="190">
        <v>1.0</v>
      </c>
      <c r="R446" s="166" t="s">
        <v>166</v>
      </c>
      <c r="S446" s="34"/>
      <c r="T446" s="81"/>
      <c r="V446" s="77" t="s">
        <v>5</v>
      </c>
      <c r="W446" s="78">
        <v>2.0</v>
      </c>
      <c r="X446" s="82"/>
      <c r="Y446" s="166" t="s">
        <v>18</v>
      </c>
      <c r="Z446" s="34"/>
      <c r="AA446" s="81">
        <v>1.0</v>
      </c>
      <c r="AC446" s="22">
        <v>3.0</v>
      </c>
      <c r="AD446" s="52" t="s">
        <v>240</v>
      </c>
    </row>
    <row r="447" ht="14.25" customHeight="1">
      <c r="A447" s="77" t="s">
        <v>144</v>
      </c>
      <c r="B447" s="78">
        <v>1.0</v>
      </c>
      <c r="H447" s="77" t="s">
        <v>190</v>
      </c>
      <c r="I447" s="78">
        <v>1.0</v>
      </c>
      <c r="K447" s="124"/>
      <c r="L447" s="124"/>
      <c r="O447" s="135"/>
      <c r="P447" s="136"/>
      <c r="AC447" s="22">
        <v>2.0</v>
      </c>
      <c r="AD447" s="52" t="s">
        <v>241</v>
      </c>
    </row>
    <row r="448" ht="14.25" customHeight="1">
      <c r="AC448" s="22">
        <v>1.0</v>
      </c>
      <c r="AD448" s="52" t="s">
        <v>242</v>
      </c>
    </row>
    <row r="449" ht="14.25" customHeight="1">
      <c r="V449" s="90"/>
      <c r="W449" s="90"/>
      <c r="X449" s="90"/>
      <c r="Y449" s="90"/>
      <c r="Z449" s="90"/>
      <c r="AC449" s="22">
        <v>1.0</v>
      </c>
      <c r="AD449" s="52" t="s">
        <v>243</v>
      </c>
    </row>
    <row r="450" ht="14.25" customHeight="1">
      <c r="V450" s="92" t="s">
        <v>3</v>
      </c>
      <c r="W450" s="93"/>
      <c r="X450" s="30"/>
      <c r="Y450" s="50">
        <f>A440+D440+H440+K440+O440+R440+V440+Y440</f>
        <v>44</v>
      </c>
      <c r="Z450" s="30"/>
      <c r="AC450" s="22">
        <v>1.0</v>
      </c>
      <c r="AD450" s="52" t="s">
        <v>244</v>
      </c>
    </row>
    <row r="451" ht="14.25" customHeight="1">
      <c r="AC451" s="22"/>
    </row>
    <row r="452" ht="14.25" customHeight="1">
      <c r="AC452" s="22"/>
    </row>
    <row r="453" ht="14.25" customHeight="1">
      <c r="P453" s="8">
        <v>44593.0</v>
      </c>
      <c r="Q453" s="2"/>
      <c r="R453" s="2"/>
      <c r="S453" s="3"/>
      <c r="AC453" s="22"/>
    </row>
    <row r="454" ht="14.25" customHeight="1"/>
    <row r="455" ht="14.25" customHeight="1">
      <c r="A455" s="9">
        <v>22.0</v>
      </c>
      <c r="B455" s="10">
        <v>44593.0</v>
      </c>
      <c r="C455" s="2"/>
      <c r="D455" s="2"/>
      <c r="E455" s="2"/>
      <c r="F455" s="3"/>
      <c r="H455" s="9">
        <v>23.0</v>
      </c>
      <c r="I455" s="10">
        <v>44600.0</v>
      </c>
      <c r="J455" s="2"/>
      <c r="K455" s="2"/>
      <c r="L455" s="2"/>
      <c r="M455" s="3"/>
      <c r="O455" s="9">
        <v>24.0</v>
      </c>
      <c r="P455" s="10">
        <v>44607.0</v>
      </c>
      <c r="Q455" s="2"/>
      <c r="R455" s="2"/>
      <c r="S455" s="2"/>
      <c r="T455" s="3"/>
      <c r="V455" s="9">
        <v>25.0</v>
      </c>
      <c r="W455" s="10">
        <v>44614.0</v>
      </c>
      <c r="X455" s="2"/>
      <c r="Y455" s="2"/>
      <c r="Z455" s="2"/>
      <c r="AA455" s="3"/>
      <c r="AC455" s="51" t="s">
        <v>245</v>
      </c>
      <c r="AD455" s="2"/>
      <c r="AE455" s="2"/>
      <c r="AF455" s="2"/>
      <c r="AG455" s="3"/>
    </row>
    <row r="456" ht="14.25" customHeight="1">
      <c r="A456" s="14">
        <v>7.0</v>
      </c>
      <c r="B456" s="2"/>
      <c r="C456" s="3"/>
      <c r="D456" s="39">
        <v>4.0</v>
      </c>
      <c r="E456" s="2"/>
      <c r="F456" s="3"/>
      <c r="H456" s="14">
        <v>10.0</v>
      </c>
      <c r="I456" s="2"/>
      <c r="J456" s="3"/>
      <c r="K456" s="39">
        <v>8.0</v>
      </c>
      <c r="L456" s="2"/>
      <c r="M456" s="3"/>
      <c r="O456" s="14">
        <v>4.0</v>
      </c>
      <c r="P456" s="2"/>
      <c r="Q456" s="3"/>
      <c r="R456" s="39">
        <v>4.0</v>
      </c>
      <c r="S456" s="2"/>
      <c r="T456" s="3"/>
      <c r="V456" s="14">
        <v>2.0</v>
      </c>
      <c r="W456" s="2"/>
      <c r="X456" s="3"/>
      <c r="Y456" s="15">
        <v>8.0</v>
      </c>
      <c r="Z456" s="2"/>
      <c r="AA456" s="3"/>
      <c r="AC456" s="200"/>
    </row>
    <row r="457" ht="12.0" customHeight="1">
      <c r="A457" s="66"/>
      <c r="B457" s="61" t="s">
        <v>69</v>
      </c>
      <c r="C457" s="62" t="s">
        <v>70</v>
      </c>
      <c r="D457" s="94"/>
      <c r="E457" s="95" t="s">
        <v>69</v>
      </c>
      <c r="F457" s="96" t="s">
        <v>70</v>
      </c>
      <c r="H457" s="66"/>
      <c r="I457" s="61" t="s">
        <v>69</v>
      </c>
      <c r="J457" s="61" t="s">
        <v>70</v>
      </c>
      <c r="K457" s="94"/>
      <c r="L457" s="95" t="s">
        <v>69</v>
      </c>
      <c r="M457" s="96" t="s">
        <v>70</v>
      </c>
      <c r="O457" s="66"/>
      <c r="P457" s="61" t="s">
        <v>69</v>
      </c>
      <c r="Q457" s="62" t="s">
        <v>70</v>
      </c>
      <c r="R457" s="94"/>
      <c r="S457" s="95" t="s">
        <v>69</v>
      </c>
      <c r="T457" s="96" t="s">
        <v>70</v>
      </c>
      <c r="V457" s="66"/>
      <c r="W457" s="61" t="s">
        <v>69</v>
      </c>
      <c r="X457" s="62" t="s">
        <v>70</v>
      </c>
      <c r="Y457" s="63"/>
      <c r="Z457" s="64" t="s">
        <v>69</v>
      </c>
      <c r="AA457" s="65" t="s">
        <v>70</v>
      </c>
      <c r="AC457" s="22">
        <f>B458+I460+P460+W459</f>
        <v>9</v>
      </c>
      <c r="AD457" s="52" t="s">
        <v>226</v>
      </c>
    </row>
    <row r="458" ht="14.25" customHeight="1">
      <c r="A458" s="67" t="s">
        <v>225</v>
      </c>
      <c r="B458" s="68">
        <v>3.0</v>
      </c>
      <c r="C458" s="69"/>
      <c r="D458" s="97" t="s">
        <v>18</v>
      </c>
      <c r="E458" s="98"/>
      <c r="F458" s="99"/>
      <c r="H458" s="67" t="s">
        <v>20</v>
      </c>
      <c r="I458" s="68">
        <v>1.0</v>
      </c>
      <c r="J458" s="191">
        <v>2.0</v>
      </c>
      <c r="K458" s="97" t="s">
        <v>18</v>
      </c>
      <c r="L458" s="98">
        <v>2.0</v>
      </c>
      <c r="M458" s="99"/>
      <c r="O458" s="67" t="s">
        <v>10</v>
      </c>
      <c r="P458" s="68"/>
      <c r="Q458" s="69"/>
      <c r="R458" s="97" t="s">
        <v>18</v>
      </c>
      <c r="S458" s="98">
        <v>1.0</v>
      </c>
      <c r="T458" s="99"/>
      <c r="V458" s="67" t="s">
        <v>18</v>
      </c>
      <c r="W458" s="68"/>
      <c r="X458" s="69"/>
      <c r="Y458" s="169" t="s">
        <v>10</v>
      </c>
      <c r="Z458" s="21">
        <v>1.0</v>
      </c>
      <c r="AA458" s="71"/>
      <c r="AC458" s="22">
        <v>5.0</v>
      </c>
      <c r="AD458" s="52" t="s">
        <v>203</v>
      </c>
    </row>
    <row r="459" ht="14.25" customHeight="1">
      <c r="A459" s="72" t="s">
        <v>175</v>
      </c>
      <c r="B459" s="73"/>
      <c r="C459" s="69"/>
      <c r="D459" s="100" t="s">
        <v>5</v>
      </c>
      <c r="E459" s="101">
        <v>2.0</v>
      </c>
      <c r="F459" s="102">
        <v>1.0</v>
      </c>
      <c r="H459" s="72" t="s">
        <v>175</v>
      </c>
      <c r="I459" s="73">
        <v>1.0</v>
      </c>
      <c r="J459" s="191">
        <v>2.0</v>
      </c>
      <c r="K459" s="100" t="s">
        <v>10</v>
      </c>
      <c r="L459" s="101">
        <v>2.0</v>
      </c>
      <c r="M459" s="102">
        <v>2.0</v>
      </c>
      <c r="O459" s="72" t="s">
        <v>5</v>
      </c>
      <c r="P459" s="73">
        <v>1.0</v>
      </c>
      <c r="Q459" s="69"/>
      <c r="R459" s="100" t="s">
        <v>7</v>
      </c>
      <c r="S459" s="101"/>
      <c r="T459" s="102">
        <v>2.0</v>
      </c>
      <c r="V459" s="72" t="s">
        <v>225</v>
      </c>
      <c r="W459" s="73">
        <v>1.0</v>
      </c>
      <c r="X459" s="69"/>
      <c r="Y459" s="170" t="s">
        <v>7</v>
      </c>
      <c r="Z459" s="28">
        <v>1.0</v>
      </c>
      <c r="AA459" s="75">
        <v>3.0</v>
      </c>
      <c r="AC459" s="22">
        <f>E462+L462+P460</f>
        <v>4</v>
      </c>
      <c r="AD459" s="52" t="s">
        <v>246</v>
      </c>
    </row>
    <row r="460" ht="14.25" customHeight="1">
      <c r="A460" s="72" t="s">
        <v>20</v>
      </c>
      <c r="B460" s="73"/>
      <c r="C460" s="69">
        <v>2.0</v>
      </c>
      <c r="D460" s="100" t="s">
        <v>10</v>
      </c>
      <c r="E460" s="101">
        <v>1.0</v>
      </c>
      <c r="F460" s="102">
        <v>2.0</v>
      </c>
      <c r="H460" s="72" t="s">
        <v>225</v>
      </c>
      <c r="I460" s="73">
        <v>4.0</v>
      </c>
      <c r="J460" s="191"/>
      <c r="K460" s="100" t="s">
        <v>7</v>
      </c>
      <c r="L460" s="101">
        <v>1.0</v>
      </c>
      <c r="M460" s="102">
        <v>1.0</v>
      </c>
      <c r="O460" s="72" t="s">
        <v>166</v>
      </c>
      <c r="P460" s="73">
        <v>1.0</v>
      </c>
      <c r="Q460" s="69"/>
      <c r="R460" s="100" t="s">
        <v>20</v>
      </c>
      <c r="S460" s="101">
        <v>1.0</v>
      </c>
      <c r="T460" s="102">
        <v>1.0</v>
      </c>
      <c r="V460" s="72" t="s">
        <v>166</v>
      </c>
      <c r="W460" s="73">
        <v>1.0</v>
      </c>
      <c r="X460" s="69"/>
      <c r="Y460" s="170" t="s">
        <v>20</v>
      </c>
      <c r="Z460" s="28">
        <v>1.0</v>
      </c>
      <c r="AA460" s="75">
        <v>1.0</v>
      </c>
      <c r="AC460" s="22">
        <v>3.0</v>
      </c>
      <c r="AD460" s="52" t="s">
        <v>247</v>
      </c>
    </row>
    <row r="461" ht="14.25" customHeight="1">
      <c r="A461" s="72" t="s">
        <v>211</v>
      </c>
      <c r="B461" s="73">
        <v>2.0</v>
      </c>
      <c r="C461" s="69">
        <v>1.0</v>
      </c>
      <c r="D461" s="100" t="s">
        <v>7</v>
      </c>
      <c r="E461" s="101"/>
      <c r="F461" s="102"/>
      <c r="H461" s="72" t="s">
        <v>17</v>
      </c>
      <c r="I461" s="73">
        <v>2.0</v>
      </c>
      <c r="J461" s="191">
        <v>1.0</v>
      </c>
      <c r="K461" s="100" t="s">
        <v>5</v>
      </c>
      <c r="L461" s="101">
        <v>1.0</v>
      </c>
      <c r="M461" s="102">
        <v>4.0</v>
      </c>
      <c r="O461" s="72" t="s">
        <v>225</v>
      </c>
      <c r="P461" s="73">
        <v>1.0</v>
      </c>
      <c r="Q461" s="69">
        <v>2.0</v>
      </c>
      <c r="R461" s="100" t="s">
        <v>4</v>
      </c>
      <c r="S461" s="101">
        <v>2.0</v>
      </c>
      <c r="T461" s="102">
        <v>1.0</v>
      </c>
      <c r="V461" s="72" t="s">
        <v>4</v>
      </c>
      <c r="W461" s="73"/>
      <c r="X461" s="69">
        <v>1.0</v>
      </c>
      <c r="Y461" s="170" t="s">
        <v>248</v>
      </c>
      <c r="Z461" s="28">
        <v>2.0</v>
      </c>
      <c r="AA461" s="75"/>
      <c r="AC461" s="22">
        <v>2.0</v>
      </c>
      <c r="AD461" s="52" t="s">
        <v>249</v>
      </c>
    </row>
    <row r="462" ht="14.25" customHeight="1">
      <c r="A462" s="77" t="s">
        <v>4</v>
      </c>
      <c r="B462" s="78">
        <v>2.0</v>
      </c>
      <c r="C462" s="82"/>
      <c r="D462" s="103" t="s">
        <v>166</v>
      </c>
      <c r="E462" s="104">
        <v>1.0</v>
      </c>
      <c r="F462" s="105"/>
      <c r="H462" s="77" t="s">
        <v>13</v>
      </c>
      <c r="I462" s="78">
        <v>2.0</v>
      </c>
      <c r="J462" s="190"/>
      <c r="K462" s="103" t="s">
        <v>166</v>
      </c>
      <c r="L462" s="104">
        <v>2.0</v>
      </c>
      <c r="M462" s="105"/>
      <c r="O462" s="77" t="s">
        <v>17</v>
      </c>
      <c r="P462" s="78">
        <v>1.0</v>
      </c>
      <c r="Q462" s="190">
        <v>1.0</v>
      </c>
      <c r="R462" s="103" t="s">
        <v>250</v>
      </c>
      <c r="S462" s="104"/>
      <c r="T462" s="105"/>
      <c r="V462" s="77" t="s">
        <v>210</v>
      </c>
      <c r="W462" s="78"/>
      <c r="X462" s="82"/>
      <c r="Y462" s="166" t="s">
        <v>54</v>
      </c>
      <c r="Z462" s="34">
        <v>3.0</v>
      </c>
      <c r="AA462" s="81"/>
      <c r="AC462" s="22"/>
      <c r="AD462" s="52" t="s">
        <v>29</v>
      </c>
    </row>
    <row r="463" ht="14.25" customHeight="1">
      <c r="AC463" s="22">
        <v>1.0</v>
      </c>
      <c r="AD463" s="52" t="s">
        <v>251</v>
      </c>
    </row>
    <row r="464" ht="14.25" customHeight="1">
      <c r="AC464" s="22"/>
    </row>
    <row r="465" ht="14.25" customHeight="1">
      <c r="V465" s="90"/>
      <c r="W465" s="90"/>
      <c r="X465" s="90"/>
      <c r="Y465" s="90"/>
      <c r="Z465" s="90"/>
      <c r="AC465" s="22"/>
    </row>
    <row r="466" ht="14.25" customHeight="1">
      <c r="V466" s="92" t="s">
        <v>3</v>
      </c>
      <c r="W466" s="93"/>
      <c r="X466" s="30"/>
      <c r="Y466" s="50">
        <f>A456+D456+H456+K456+O456+R456+V456+Y456</f>
        <v>47</v>
      </c>
      <c r="Z466" s="30"/>
      <c r="AC466" s="22"/>
    </row>
    <row r="467" ht="14.25" customHeight="1">
      <c r="AC467" s="22"/>
    </row>
    <row r="468" ht="14.25" customHeight="1">
      <c r="AC468" s="22"/>
    </row>
    <row r="469" ht="14.25" customHeight="1">
      <c r="P469" s="8">
        <v>44621.0</v>
      </c>
      <c r="Q469" s="2"/>
      <c r="R469" s="2"/>
      <c r="S469" s="3"/>
      <c r="AC469" s="22"/>
    </row>
    <row r="470" ht="14.25" customHeight="1">
      <c r="AC470" s="22"/>
    </row>
    <row r="471" ht="14.25" customHeight="1">
      <c r="A471" s="9">
        <v>26.0</v>
      </c>
      <c r="B471" s="10">
        <v>44621.0</v>
      </c>
      <c r="C471" s="2"/>
      <c r="D471" s="2"/>
      <c r="E471" s="2"/>
      <c r="F471" s="3"/>
      <c r="H471" s="9">
        <v>27.0</v>
      </c>
      <c r="I471" s="10">
        <v>44628.0</v>
      </c>
      <c r="J471" s="2"/>
      <c r="K471" s="2"/>
      <c r="L471" s="2"/>
      <c r="M471" s="3"/>
      <c r="O471" s="9">
        <v>28.0</v>
      </c>
      <c r="P471" s="10">
        <v>44635.0</v>
      </c>
      <c r="Q471" s="2"/>
      <c r="R471" s="2"/>
      <c r="S471" s="2"/>
      <c r="T471" s="3"/>
      <c r="V471" s="9">
        <v>29.0</v>
      </c>
      <c r="W471" s="10">
        <v>44642.0</v>
      </c>
      <c r="X471" s="2"/>
      <c r="Y471" s="2"/>
      <c r="Z471" s="2"/>
      <c r="AA471" s="3"/>
      <c r="AC471" s="9">
        <v>30.0</v>
      </c>
      <c r="AD471" s="10">
        <v>44649.0</v>
      </c>
      <c r="AE471" s="2"/>
      <c r="AF471" s="2"/>
      <c r="AG471" s="2"/>
      <c r="AH471" s="3"/>
    </row>
    <row r="472" ht="14.25" customHeight="1">
      <c r="A472" s="14">
        <v>3.0</v>
      </c>
      <c r="B472" s="2"/>
      <c r="C472" s="3"/>
      <c r="D472" s="15">
        <v>5.0</v>
      </c>
      <c r="E472" s="2"/>
      <c r="F472" s="3"/>
      <c r="H472" s="14">
        <v>11.0</v>
      </c>
      <c r="I472" s="2"/>
      <c r="J472" s="3"/>
      <c r="K472" s="39">
        <v>9.0</v>
      </c>
      <c r="L472" s="2"/>
      <c r="M472" s="3"/>
      <c r="O472" s="14">
        <v>10.0</v>
      </c>
      <c r="P472" s="2"/>
      <c r="Q472" s="3"/>
      <c r="R472" s="147">
        <v>5.0</v>
      </c>
      <c r="S472" s="2"/>
      <c r="T472" s="3"/>
      <c r="V472" s="14">
        <v>10.0</v>
      </c>
      <c r="W472" s="2"/>
      <c r="X472" s="3"/>
      <c r="Y472" s="147">
        <v>8.0</v>
      </c>
      <c r="Z472" s="2"/>
      <c r="AA472" s="3"/>
      <c r="AC472" s="14">
        <v>4.0</v>
      </c>
      <c r="AD472" s="2"/>
      <c r="AE472" s="3"/>
      <c r="AF472" s="15">
        <v>6.0</v>
      </c>
      <c r="AG472" s="2"/>
      <c r="AH472" s="3"/>
    </row>
    <row r="473" ht="12.0" customHeight="1">
      <c r="A473" s="66"/>
      <c r="B473" s="61" t="s">
        <v>69</v>
      </c>
      <c r="C473" s="62" t="s">
        <v>70</v>
      </c>
      <c r="D473" s="63"/>
      <c r="E473" s="64" t="s">
        <v>69</v>
      </c>
      <c r="F473" s="65" t="s">
        <v>70</v>
      </c>
      <c r="H473" s="66"/>
      <c r="I473" s="61" t="s">
        <v>69</v>
      </c>
      <c r="J473" s="62" t="s">
        <v>70</v>
      </c>
      <c r="K473" s="94"/>
      <c r="L473" s="95" t="s">
        <v>69</v>
      </c>
      <c r="M473" s="96" t="s">
        <v>70</v>
      </c>
      <c r="O473" s="66"/>
      <c r="P473" s="61" t="s">
        <v>69</v>
      </c>
      <c r="Q473" s="62" t="s">
        <v>70</v>
      </c>
      <c r="R473" s="63"/>
      <c r="S473" s="64" t="s">
        <v>69</v>
      </c>
      <c r="T473" s="65" t="s">
        <v>70</v>
      </c>
      <c r="V473" s="66"/>
      <c r="W473" s="61" t="s">
        <v>69</v>
      </c>
      <c r="X473" s="62" t="s">
        <v>70</v>
      </c>
      <c r="Y473" s="63"/>
      <c r="Z473" s="64" t="s">
        <v>69</v>
      </c>
      <c r="AA473" s="65" t="s">
        <v>70</v>
      </c>
      <c r="AC473" s="66"/>
      <c r="AD473" s="61" t="s">
        <v>69</v>
      </c>
      <c r="AE473" s="62" t="s">
        <v>70</v>
      </c>
      <c r="AF473" s="63"/>
      <c r="AG473" s="64" t="s">
        <v>69</v>
      </c>
      <c r="AH473" s="65" t="s">
        <v>70</v>
      </c>
    </row>
    <row r="474" ht="14.25" customHeight="1">
      <c r="A474" s="67" t="s">
        <v>18</v>
      </c>
      <c r="B474" s="68"/>
      <c r="C474" s="69"/>
      <c r="D474" s="169" t="s">
        <v>10</v>
      </c>
      <c r="E474" s="21"/>
      <c r="F474" s="71"/>
      <c r="H474" s="67" t="s">
        <v>20</v>
      </c>
      <c r="I474" s="68">
        <v>2.0</v>
      </c>
      <c r="J474" s="69">
        <v>1.0</v>
      </c>
      <c r="K474" s="97" t="s">
        <v>10</v>
      </c>
      <c r="L474" s="98">
        <v>1.0</v>
      </c>
      <c r="M474" s="99">
        <v>1.0</v>
      </c>
      <c r="O474" s="67" t="s">
        <v>10</v>
      </c>
      <c r="P474" s="68"/>
      <c r="Q474" s="69">
        <v>2.0</v>
      </c>
      <c r="R474" s="169" t="s">
        <v>13</v>
      </c>
      <c r="S474" s="21"/>
      <c r="T474" s="71">
        <v>1.0</v>
      </c>
      <c r="V474" s="67" t="s">
        <v>5</v>
      </c>
      <c r="W474" s="68">
        <v>1.0</v>
      </c>
      <c r="X474" s="69">
        <v>5.0</v>
      </c>
      <c r="Y474" s="169" t="s">
        <v>175</v>
      </c>
      <c r="Z474" s="21">
        <v>1.0</v>
      </c>
      <c r="AA474" s="71">
        <v>2.0</v>
      </c>
      <c r="AC474" s="67" t="s">
        <v>18</v>
      </c>
      <c r="AD474" s="68"/>
      <c r="AE474" s="69"/>
      <c r="AF474" s="169" t="s">
        <v>175</v>
      </c>
      <c r="AG474" s="21"/>
      <c r="AH474" s="71"/>
    </row>
    <row r="475" ht="14.25" customHeight="1">
      <c r="A475" s="72" t="s">
        <v>13</v>
      </c>
      <c r="B475" s="73">
        <v>1.0</v>
      </c>
      <c r="C475" s="69"/>
      <c r="D475" s="170" t="s">
        <v>7</v>
      </c>
      <c r="E475" s="28"/>
      <c r="F475" s="75">
        <v>2.0</v>
      </c>
      <c r="H475" s="72" t="s">
        <v>17</v>
      </c>
      <c r="I475" s="73">
        <v>2.0</v>
      </c>
      <c r="J475" s="69">
        <v>1.0</v>
      </c>
      <c r="K475" s="100" t="s">
        <v>5</v>
      </c>
      <c r="L475" s="101">
        <v>2.0</v>
      </c>
      <c r="M475" s="102">
        <v>1.0</v>
      </c>
      <c r="O475" s="72" t="s">
        <v>7</v>
      </c>
      <c r="P475" s="73">
        <v>4.0</v>
      </c>
      <c r="Q475" s="69">
        <v>1.0</v>
      </c>
      <c r="R475" s="170" t="s">
        <v>225</v>
      </c>
      <c r="S475" s="28">
        <v>1.0</v>
      </c>
      <c r="T475" s="75"/>
      <c r="V475" s="72" t="s">
        <v>14</v>
      </c>
      <c r="W475" s="73">
        <v>4.0</v>
      </c>
      <c r="X475" s="69">
        <v>3.0</v>
      </c>
      <c r="Y475" s="170" t="s">
        <v>166</v>
      </c>
      <c r="Z475" s="28"/>
      <c r="AA475" s="75">
        <v>1.0</v>
      </c>
      <c r="AC475" s="72" t="s">
        <v>7</v>
      </c>
      <c r="AD475" s="73">
        <v>1.0</v>
      </c>
      <c r="AE475" s="69">
        <v>1.0</v>
      </c>
      <c r="AF475" s="170" t="s">
        <v>20</v>
      </c>
      <c r="AG475" s="28"/>
      <c r="AH475" s="75">
        <v>1.0</v>
      </c>
    </row>
    <row r="476" ht="14.25" customHeight="1">
      <c r="A476" s="72" t="s">
        <v>17</v>
      </c>
      <c r="B476" s="73"/>
      <c r="C476" s="69">
        <v>1.0</v>
      </c>
      <c r="D476" s="170" t="s">
        <v>20</v>
      </c>
      <c r="E476" s="28"/>
      <c r="F476" s="75"/>
      <c r="H476" s="72" t="s">
        <v>18</v>
      </c>
      <c r="I476" s="73">
        <v>2.0</v>
      </c>
      <c r="J476" s="69">
        <v>1.0</v>
      </c>
      <c r="K476" s="100" t="s">
        <v>14</v>
      </c>
      <c r="L476" s="101">
        <v>2.0</v>
      </c>
      <c r="M476" s="102">
        <v>2.0</v>
      </c>
      <c r="O476" s="72" t="s">
        <v>166</v>
      </c>
      <c r="P476" s="73"/>
      <c r="Q476" s="69"/>
      <c r="R476" s="170" t="s">
        <v>20</v>
      </c>
      <c r="S476" s="28"/>
      <c r="T476" s="75">
        <v>2.0</v>
      </c>
      <c r="V476" s="72" t="s">
        <v>252</v>
      </c>
      <c r="W476" s="73">
        <v>1.0</v>
      </c>
      <c r="X476" s="69"/>
      <c r="Y476" s="170" t="s">
        <v>225</v>
      </c>
      <c r="Z476" s="28">
        <v>1.0</v>
      </c>
      <c r="AA476" s="75">
        <v>1.0</v>
      </c>
      <c r="AC476" s="72" t="s">
        <v>5</v>
      </c>
      <c r="AD476" s="73"/>
      <c r="AE476" s="69">
        <v>2.0</v>
      </c>
      <c r="AF476" s="170" t="s">
        <v>6</v>
      </c>
      <c r="AG476" s="28"/>
      <c r="AH476" s="75"/>
    </row>
    <row r="477" ht="14.25" customHeight="1">
      <c r="A477" s="72" t="s">
        <v>166</v>
      </c>
      <c r="B477" s="73">
        <v>1.0</v>
      </c>
      <c r="C477" s="69">
        <v>1.0</v>
      </c>
      <c r="D477" s="170" t="s">
        <v>4</v>
      </c>
      <c r="E477" s="28">
        <v>1.0</v>
      </c>
      <c r="F477" s="75">
        <v>3.0</v>
      </c>
      <c r="H477" s="72" t="s">
        <v>13</v>
      </c>
      <c r="I477" s="73">
        <v>4.0</v>
      </c>
      <c r="J477" s="69">
        <v>3.0</v>
      </c>
      <c r="K477" s="100" t="s">
        <v>166</v>
      </c>
      <c r="L477" s="101">
        <v>3.0</v>
      </c>
      <c r="M477" s="102">
        <v>1.0</v>
      </c>
      <c r="O477" s="72" t="s">
        <v>5</v>
      </c>
      <c r="P477" s="73"/>
      <c r="Q477" s="69">
        <v>1.0</v>
      </c>
      <c r="R477" s="170" t="s">
        <v>4</v>
      </c>
      <c r="S477" s="28">
        <v>3.0</v>
      </c>
      <c r="T477" s="75"/>
      <c r="V477" s="72" t="s">
        <v>18</v>
      </c>
      <c r="W477" s="73">
        <v>2.0</v>
      </c>
      <c r="X477" s="69"/>
      <c r="Y477" s="170" t="s">
        <v>7</v>
      </c>
      <c r="Z477" s="28">
        <v>1.0</v>
      </c>
      <c r="AA477" s="75"/>
      <c r="AC477" s="72" t="s">
        <v>225</v>
      </c>
      <c r="AD477" s="73">
        <v>2.0</v>
      </c>
      <c r="AE477" s="69"/>
      <c r="AF477" s="170" t="s">
        <v>14</v>
      </c>
      <c r="AG477" s="28">
        <v>1.0</v>
      </c>
      <c r="AH477" s="75">
        <v>2.0</v>
      </c>
    </row>
    <row r="478" ht="14.25" customHeight="1">
      <c r="A478" s="77" t="s">
        <v>225</v>
      </c>
      <c r="B478" s="78">
        <v>1.0</v>
      </c>
      <c r="C478" s="82"/>
      <c r="D478" s="166" t="s">
        <v>14</v>
      </c>
      <c r="E478" s="34">
        <v>4.0</v>
      </c>
      <c r="F478" s="81"/>
      <c r="H478" s="77" t="s">
        <v>4</v>
      </c>
      <c r="I478" s="78">
        <v>1.0</v>
      </c>
      <c r="J478" s="82"/>
      <c r="K478" s="103" t="s">
        <v>7</v>
      </c>
      <c r="L478" s="104">
        <v>1.0</v>
      </c>
      <c r="M478" s="105">
        <v>1.0</v>
      </c>
      <c r="O478" s="77" t="s">
        <v>14</v>
      </c>
      <c r="P478" s="78">
        <v>6.0</v>
      </c>
      <c r="Q478" s="82">
        <v>1.0</v>
      </c>
      <c r="R478" s="166" t="s">
        <v>18</v>
      </c>
      <c r="S478" s="34"/>
      <c r="T478" s="81"/>
      <c r="V478" s="77" t="s">
        <v>4</v>
      </c>
      <c r="W478" s="78">
        <v>2.0</v>
      </c>
      <c r="X478" s="82"/>
      <c r="Y478" s="166" t="s">
        <v>17</v>
      </c>
      <c r="Z478" s="34">
        <v>5.0</v>
      </c>
      <c r="AA478" s="81"/>
      <c r="AC478" s="77" t="s">
        <v>17</v>
      </c>
      <c r="AD478" s="78">
        <v>1.0</v>
      </c>
      <c r="AE478" s="82">
        <v>1.0</v>
      </c>
      <c r="AF478" s="166" t="s">
        <v>4</v>
      </c>
      <c r="AG478" s="34">
        <v>5.0</v>
      </c>
      <c r="AH478" s="81">
        <v>1.0</v>
      </c>
    </row>
    <row r="479" ht="14.25" customHeight="1">
      <c r="R479" s="160" t="s">
        <v>190</v>
      </c>
      <c r="S479" s="161">
        <v>1.0</v>
      </c>
    </row>
    <row r="480" ht="14.25" customHeight="1"/>
    <row r="481" ht="14.25" customHeight="1">
      <c r="V481" s="90"/>
      <c r="W481" s="90"/>
      <c r="X481" s="90"/>
      <c r="Y481" s="90"/>
      <c r="Z481" s="90"/>
    </row>
    <row r="482" ht="14.25" customHeight="1">
      <c r="A482" s="51" t="s">
        <v>253</v>
      </c>
      <c r="B482" s="2"/>
      <c r="C482" s="2"/>
      <c r="D482" s="2"/>
      <c r="E482" s="3"/>
      <c r="V482" s="92" t="s">
        <v>3</v>
      </c>
      <c r="W482" s="93"/>
      <c r="X482" s="30"/>
      <c r="Y482" s="50">
        <f>A472+D472+H472+K472+O472+R472+V472+Y472+AC472+AF472</f>
        <v>71</v>
      </c>
      <c r="Z482" s="30"/>
    </row>
    <row r="483" ht="14.25" customHeight="1"/>
    <row r="484" ht="14.25" customHeight="1">
      <c r="A484" s="52" t="s">
        <v>36</v>
      </c>
      <c r="B484" s="52">
        <f>E478+L476+P478+W475+AG477</f>
        <v>17</v>
      </c>
      <c r="D484" s="52" t="s">
        <v>38</v>
      </c>
      <c r="F484" s="52">
        <v>2.0</v>
      </c>
    </row>
    <row r="485" ht="14.25" customHeight="1">
      <c r="A485" s="52" t="s">
        <v>49</v>
      </c>
      <c r="B485" s="52">
        <f>E477+I478+S477+W478+AG478</f>
        <v>12</v>
      </c>
      <c r="D485" s="52" t="s">
        <v>82</v>
      </c>
      <c r="F485" s="52">
        <v>1.0</v>
      </c>
    </row>
    <row r="486" ht="14.25" customHeight="1">
      <c r="A486" s="52" t="s">
        <v>61</v>
      </c>
      <c r="B486" s="52">
        <v>8.0</v>
      </c>
      <c r="D486" s="52" t="s">
        <v>254</v>
      </c>
      <c r="F486" s="52">
        <v>1.0</v>
      </c>
    </row>
    <row r="487" ht="14.25" customHeight="1">
      <c r="A487" s="52" t="s">
        <v>29</v>
      </c>
      <c r="B487" s="52">
        <v>7.0</v>
      </c>
      <c r="D487" s="52" t="s">
        <v>251</v>
      </c>
      <c r="F487" s="52">
        <v>1.0</v>
      </c>
    </row>
    <row r="488" ht="14.25" customHeight="1">
      <c r="A488" s="52" t="s">
        <v>226</v>
      </c>
      <c r="B488" s="52">
        <f>B478+Z476+S475+AD477</f>
        <v>5</v>
      </c>
      <c r="D488" s="52" t="s">
        <v>255</v>
      </c>
      <c r="F488" s="52">
        <v>1.0</v>
      </c>
    </row>
    <row r="489" ht="14.25" customHeight="1">
      <c r="A489" s="52" t="s">
        <v>33</v>
      </c>
      <c r="B489" s="52">
        <v>5.0</v>
      </c>
    </row>
    <row r="490" ht="14.25" customHeight="1">
      <c r="A490" s="52" t="s">
        <v>91</v>
      </c>
      <c r="B490" s="52">
        <v>4.0</v>
      </c>
    </row>
    <row r="491" ht="14.25" customHeight="1">
      <c r="A491" s="52" t="s">
        <v>203</v>
      </c>
      <c r="B491" s="52">
        <v>4.0</v>
      </c>
    </row>
    <row r="492" ht="14.25" customHeight="1">
      <c r="A492" s="52" t="s">
        <v>8</v>
      </c>
      <c r="B492" s="52">
        <v>3.0</v>
      </c>
    </row>
    <row r="493" ht="14.25" customHeight="1"/>
    <row r="494" ht="14.25" customHeight="1"/>
    <row r="495" ht="14.25" customHeight="1">
      <c r="P495" s="8">
        <v>44652.0</v>
      </c>
      <c r="Q495" s="2"/>
      <c r="R495" s="2"/>
      <c r="S495" s="3"/>
      <c r="AC495" s="22"/>
    </row>
    <row r="496" ht="14.25" customHeight="1"/>
    <row r="497" ht="14.25" customHeight="1">
      <c r="A497" s="9">
        <v>31.0</v>
      </c>
      <c r="B497" s="10">
        <v>44656.0</v>
      </c>
      <c r="C497" s="2"/>
      <c r="D497" s="2"/>
      <c r="E497" s="2"/>
      <c r="F497" s="3"/>
      <c r="H497" s="9">
        <v>32.0</v>
      </c>
      <c r="I497" s="10">
        <v>44663.0</v>
      </c>
      <c r="J497" s="2"/>
      <c r="K497" s="2"/>
      <c r="L497" s="2"/>
      <c r="M497" s="3"/>
      <c r="O497" s="9">
        <v>33.0</v>
      </c>
      <c r="P497" s="10">
        <v>44670.0</v>
      </c>
      <c r="Q497" s="2"/>
      <c r="R497" s="2"/>
      <c r="S497" s="2"/>
      <c r="T497" s="3"/>
      <c r="V497" s="9">
        <v>34.0</v>
      </c>
      <c r="W497" s="10">
        <v>44677.0</v>
      </c>
      <c r="X497" s="2"/>
      <c r="Y497" s="2"/>
      <c r="Z497" s="2"/>
      <c r="AA497" s="3"/>
      <c r="AC497" s="51" t="s">
        <v>256</v>
      </c>
      <c r="AD497" s="2"/>
      <c r="AE497" s="2"/>
      <c r="AF497" s="2"/>
      <c r="AG497" s="3"/>
    </row>
    <row r="498" ht="14.25" customHeight="1">
      <c r="A498" s="14">
        <v>11.0</v>
      </c>
      <c r="B498" s="2"/>
      <c r="C498" s="3"/>
      <c r="D498" s="15">
        <v>10.0</v>
      </c>
      <c r="E498" s="2"/>
      <c r="F498" s="3"/>
      <c r="H498" s="14">
        <v>6.0</v>
      </c>
      <c r="I498" s="2"/>
      <c r="J498" s="3"/>
      <c r="K498" s="15">
        <v>5.0</v>
      </c>
      <c r="L498" s="2"/>
      <c r="M498" s="3"/>
      <c r="O498" s="14">
        <v>5.0</v>
      </c>
      <c r="P498" s="2"/>
      <c r="Q498" s="3"/>
      <c r="R498" s="15">
        <v>7.0</v>
      </c>
      <c r="S498" s="2"/>
      <c r="T498" s="3"/>
      <c r="V498" s="14">
        <v>8.0</v>
      </c>
      <c r="W498" s="2"/>
      <c r="X498" s="3"/>
      <c r="Y498" s="15">
        <v>3.0</v>
      </c>
      <c r="Z498" s="2"/>
      <c r="AA498" s="3"/>
      <c r="AC498" s="200"/>
    </row>
    <row r="499" ht="12.0" customHeight="1">
      <c r="A499" s="66"/>
      <c r="B499" s="61" t="s">
        <v>69</v>
      </c>
      <c r="C499" s="62" t="s">
        <v>70</v>
      </c>
      <c r="D499" s="63"/>
      <c r="E499" s="64" t="s">
        <v>69</v>
      </c>
      <c r="F499" s="65" t="s">
        <v>70</v>
      </c>
      <c r="H499" s="66"/>
      <c r="I499" s="61" t="s">
        <v>69</v>
      </c>
      <c r="J499" s="61" t="s">
        <v>70</v>
      </c>
      <c r="K499" s="63"/>
      <c r="L499" s="64" t="s">
        <v>69</v>
      </c>
      <c r="M499" s="65" t="s">
        <v>70</v>
      </c>
      <c r="O499" s="66"/>
      <c r="P499" s="61" t="s">
        <v>69</v>
      </c>
      <c r="Q499" s="62" t="s">
        <v>70</v>
      </c>
      <c r="R499" s="63"/>
      <c r="S499" s="64" t="s">
        <v>69</v>
      </c>
      <c r="T499" s="65" t="s">
        <v>70</v>
      </c>
      <c r="V499" s="66"/>
      <c r="W499" s="61" t="s">
        <v>69</v>
      </c>
      <c r="X499" s="62" t="s">
        <v>70</v>
      </c>
      <c r="Y499" s="63"/>
      <c r="Z499" s="64" t="s">
        <v>69</v>
      </c>
      <c r="AA499" s="65" t="s">
        <v>70</v>
      </c>
      <c r="AC499" s="52" t="s">
        <v>49</v>
      </c>
      <c r="AD499" s="52">
        <v>7.0</v>
      </c>
      <c r="AF499" s="23" t="s">
        <v>257</v>
      </c>
      <c r="AG499" s="52">
        <v>3.0</v>
      </c>
    </row>
    <row r="500" ht="14.25" customHeight="1">
      <c r="A500" s="67" t="s">
        <v>7</v>
      </c>
      <c r="B500" s="68"/>
      <c r="C500" s="69">
        <v>3.0</v>
      </c>
      <c r="D500" s="169" t="s">
        <v>5</v>
      </c>
      <c r="E500" s="21">
        <v>1.0</v>
      </c>
      <c r="F500" s="71">
        <v>3.0</v>
      </c>
      <c r="H500" s="67" t="s">
        <v>10</v>
      </c>
      <c r="I500" s="68">
        <v>1.0</v>
      </c>
      <c r="J500" s="191">
        <v>1.0</v>
      </c>
      <c r="K500" s="169" t="s">
        <v>225</v>
      </c>
      <c r="L500" s="21">
        <v>1.0</v>
      </c>
      <c r="M500" s="71"/>
      <c r="O500" s="67" t="s">
        <v>13</v>
      </c>
      <c r="P500" s="68"/>
      <c r="Q500" s="69">
        <v>2.0</v>
      </c>
      <c r="R500" s="169" t="s">
        <v>10</v>
      </c>
      <c r="S500" s="21"/>
      <c r="T500" s="71">
        <v>2.0</v>
      </c>
      <c r="V500" s="67" t="s">
        <v>10</v>
      </c>
      <c r="W500" s="68"/>
      <c r="X500" s="69">
        <v>1.0</v>
      </c>
      <c r="Y500" s="169" t="s">
        <v>17</v>
      </c>
      <c r="Z500" s="21"/>
      <c r="AA500" s="71">
        <v>1.0</v>
      </c>
      <c r="AC500" s="38" t="s">
        <v>182</v>
      </c>
      <c r="AD500" s="52">
        <v>6.0</v>
      </c>
      <c r="AF500" s="52" t="s">
        <v>203</v>
      </c>
      <c r="AG500" s="52">
        <f>Z504</f>
        <v>1</v>
      </c>
    </row>
    <row r="501" ht="14.25" customHeight="1">
      <c r="A501" s="72" t="s">
        <v>10</v>
      </c>
      <c r="B501" s="73"/>
      <c r="C501" s="69"/>
      <c r="D501" s="170" t="s">
        <v>225</v>
      </c>
      <c r="E501" s="28">
        <v>1.0</v>
      </c>
      <c r="F501" s="75">
        <v>2.0</v>
      </c>
      <c r="H501" s="72" t="s">
        <v>7</v>
      </c>
      <c r="I501" s="73"/>
      <c r="J501" s="191">
        <v>2.0</v>
      </c>
      <c r="K501" s="170" t="s">
        <v>166</v>
      </c>
      <c r="L501" s="28"/>
      <c r="M501" s="75">
        <v>1.0</v>
      </c>
      <c r="O501" s="72" t="s">
        <v>7</v>
      </c>
      <c r="P501" s="73">
        <v>1.0</v>
      </c>
      <c r="Q501" s="69">
        <v>1.0</v>
      </c>
      <c r="R501" s="170" t="s">
        <v>6</v>
      </c>
      <c r="S501" s="28">
        <v>1.0</v>
      </c>
      <c r="T501" s="75"/>
      <c r="V501" s="72" t="s">
        <v>7</v>
      </c>
      <c r="W501" s="73">
        <v>2.0</v>
      </c>
      <c r="X501" s="69">
        <v>2.0</v>
      </c>
      <c r="Y501" s="170" t="s">
        <v>175</v>
      </c>
      <c r="Z501" s="28"/>
      <c r="AA501" s="75"/>
      <c r="AC501" s="52" t="s">
        <v>226</v>
      </c>
      <c r="AD501" s="52">
        <v>6.0</v>
      </c>
      <c r="AF501" s="23" t="s">
        <v>82</v>
      </c>
      <c r="AG501" s="52">
        <v>1.0</v>
      </c>
    </row>
    <row r="502" ht="14.25" customHeight="1">
      <c r="A502" s="72" t="s">
        <v>175</v>
      </c>
      <c r="B502" s="73">
        <v>5.0</v>
      </c>
      <c r="C502" s="69">
        <v>1.0</v>
      </c>
      <c r="D502" s="170" t="s">
        <v>186</v>
      </c>
      <c r="E502" s="28">
        <v>6.0</v>
      </c>
      <c r="F502" s="75">
        <v>1.0</v>
      </c>
      <c r="H502" s="72" t="s">
        <v>6</v>
      </c>
      <c r="I502" s="73">
        <v>2.0</v>
      </c>
      <c r="J502" s="191">
        <v>1.0</v>
      </c>
      <c r="K502" s="170" t="s">
        <v>175</v>
      </c>
      <c r="L502" s="28"/>
      <c r="M502" s="75">
        <v>1.0</v>
      </c>
      <c r="O502" s="72" t="s">
        <v>18</v>
      </c>
      <c r="P502" s="73"/>
      <c r="Q502" s="69">
        <v>1.0</v>
      </c>
      <c r="R502" s="170" t="s">
        <v>20</v>
      </c>
      <c r="S502" s="28">
        <v>2.0</v>
      </c>
      <c r="T502" s="75">
        <v>1.0</v>
      </c>
      <c r="V502" s="72" t="s">
        <v>4</v>
      </c>
      <c r="W502" s="73">
        <v>4.0</v>
      </c>
      <c r="X502" s="69"/>
      <c r="Y502" s="170" t="s">
        <v>9</v>
      </c>
      <c r="Z502" s="28">
        <v>2.0</v>
      </c>
      <c r="AA502" s="75"/>
      <c r="AC502" s="38" t="s">
        <v>251</v>
      </c>
      <c r="AD502" s="52">
        <v>5.0</v>
      </c>
      <c r="AF502" s="22" t="s">
        <v>258</v>
      </c>
      <c r="AG502" s="52">
        <v>1.0</v>
      </c>
    </row>
    <row r="503" ht="14.25" customHeight="1">
      <c r="A503" s="72" t="s">
        <v>18</v>
      </c>
      <c r="B503" s="73">
        <v>2.0</v>
      </c>
      <c r="C503" s="69"/>
      <c r="D503" s="170" t="s">
        <v>259</v>
      </c>
      <c r="E503" s="28"/>
      <c r="F503" s="75">
        <v>1.0</v>
      </c>
      <c r="H503" s="72" t="s">
        <v>20</v>
      </c>
      <c r="I503" s="73">
        <v>3.0</v>
      </c>
      <c r="J503" s="191"/>
      <c r="K503" s="170" t="s">
        <v>18</v>
      </c>
      <c r="L503" s="28">
        <v>1.0</v>
      </c>
      <c r="M503" s="75">
        <v>1.0</v>
      </c>
      <c r="O503" s="72" t="s">
        <v>166</v>
      </c>
      <c r="P503" s="73"/>
      <c r="Q503" s="69">
        <v>1.0</v>
      </c>
      <c r="R503" s="170" t="s">
        <v>5</v>
      </c>
      <c r="S503" s="28">
        <v>1.0</v>
      </c>
      <c r="T503" s="75">
        <v>3.0</v>
      </c>
      <c r="V503" s="72" t="s">
        <v>5</v>
      </c>
      <c r="W503" s="73">
        <v>1.0</v>
      </c>
      <c r="X503" s="69"/>
      <c r="Y503" s="170" t="s">
        <v>225</v>
      </c>
      <c r="Z503" s="28"/>
      <c r="AA503" s="75"/>
      <c r="AC503" s="23" t="s">
        <v>38</v>
      </c>
      <c r="AD503" s="52">
        <v>5.0</v>
      </c>
      <c r="AF503" s="38"/>
    </row>
    <row r="504" ht="14.25" customHeight="1">
      <c r="A504" s="77" t="s">
        <v>211</v>
      </c>
      <c r="B504" s="78">
        <v>4.0</v>
      </c>
      <c r="C504" s="82">
        <v>3.0</v>
      </c>
      <c r="D504" s="166" t="s">
        <v>9</v>
      </c>
      <c r="E504" s="34">
        <v>2.0</v>
      </c>
      <c r="F504" s="81"/>
      <c r="H504" s="77" t="s">
        <v>5</v>
      </c>
      <c r="I504" s="78"/>
      <c r="J504" s="190">
        <v>1.0</v>
      </c>
      <c r="K504" s="166" t="s">
        <v>13</v>
      </c>
      <c r="L504" s="34">
        <v>3.0</v>
      </c>
      <c r="M504" s="81"/>
      <c r="O504" s="77" t="s">
        <v>225</v>
      </c>
      <c r="P504" s="78">
        <v>4.0</v>
      </c>
      <c r="Q504" s="190"/>
      <c r="R504" s="166" t="s">
        <v>4</v>
      </c>
      <c r="S504" s="34">
        <v>3.0</v>
      </c>
      <c r="T504" s="81"/>
      <c r="V504" s="77" t="s">
        <v>18</v>
      </c>
      <c r="W504" s="78"/>
      <c r="X504" s="82"/>
      <c r="Y504" s="166" t="s">
        <v>166</v>
      </c>
      <c r="Z504" s="34">
        <v>1.0</v>
      </c>
      <c r="AA504" s="81"/>
      <c r="AC504" s="38" t="s">
        <v>260</v>
      </c>
      <c r="AD504" s="52">
        <v>4.0</v>
      </c>
    </row>
    <row r="505" ht="14.25" customHeight="1">
      <c r="V505" s="77" t="s">
        <v>261</v>
      </c>
      <c r="W505" s="78">
        <v>1.0</v>
      </c>
      <c r="AC505" s="23" t="s">
        <v>134</v>
      </c>
      <c r="AD505" s="52">
        <v>4.0</v>
      </c>
    </row>
    <row r="506" ht="14.25" customHeight="1">
      <c r="A506" s="38"/>
      <c r="D506" s="23"/>
      <c r="AC506" s="23" t="s">
        <v>33</v>
      </c>
      <c r="AD506" s="52">
        <v>3.0</v>
      </c>
      <c r="AF506" s="23"/>
    </row>
    <row r="507" ht="14.25" customHeight="1">
      <c r="A507" s="38"/>
      <c r="V507" s="90"/>
      <c r="W507" s="90"/>
      <c r="X507" s="90"/>
      <c r="Y507" s="90"/>
      <c r="Z507" s="90"/>
      <c r="AC507" s="23" t="s">
        <v>29</v>
      </c>
      <c r="AD507" s="52">
        <v>3.0</v>
      </c>
      <c r="AF507" s="23"/>
    </row>
    <row r="508" ht="14.25" customHeight="1">
      <c r="A508" s="38"/>
      <c r="V508" s="92" t="s">
        <v>3</v>
      </c>
      <c r="W508" s="93"/>
      <c r="X508" s="30"/>
      <c r="Y508" s="50">
        <f>A498+D498+H498+K498+O498+R498+V498+Y498</f>
        <v>55</v>
      </c>
      <c r="Z508" s="30"/>
      <c r="AC508" s="52" t="s">
        <v>91</v>
      </c>
      <c r="AD508" s="52">
        <v>3.0</v>
      </c>
    </row>
    <row r="509" ht="14.25" customHeight="1">
      <c r="AC509" s="52" t="s">
        <v>8</v>
      </c>
      <c r="AD509" s="52">
        <f>L504</f>
        <v>3</v>
      </c>
    </row>
    <row r="510" ht="14.25" customHeight="1">
      <c r="AC510" s="23"/>
    </row>
    <row r="511" ht="14.25" customHeight="1"/>
    <row r="512" ht="14.25" customHeight="1">
      <c r="P512" s="8">
        <v>44682.0</v>
      </c>
      <c r="Q512" s="2"/>
      <c r="R512" s="2"/>
      <c r="S512" s="3"/>
      <c r="V512" s="52" t="s">
        <v>262</v>
      </c>
    </row>
    <row r="513" ht="14.25" customHeight="1"/>
    <row r="514" ht="14.25" customHeight="1">
      <c r="A514" s="9">
        <v>35.0</v>
      </c>
      <c r="B514" s="10">
        <v>44684.0</v>
      </c>
      <c r="C514" s="2"/>
      <c r="D514" s="2"/>
      <c r="E514" s="2"/>
      <c r="F514" s="3"/>
      <c r="H514" s="9">
        <v>36.0</v>
      </c>
      <c r="I514" s="10">
        <v>44691.0</v>
      </c>
      <c r="J514" s="2"/>
      <c r="K514" s="2"/>
      <c r="L514" s="2"/>
      <c r="M514" s="3"/>
      <c r="O514" s="9">
        <v>37.0</v>
      </c>
      <c r="P514" s="10">
        <v>44698.0</v>
      </c>
      <c r="Q514" s="2"/>
      <c r="R514" s="2"/>
      <c r="S514" s="2"/>
      <c r="T514" s="3"/>
      <c r="V514" s="9">
        <v>38.0</v>
      </c>
      <c r="W514" s="10">
        <v>44705.0</v>
      </c>
      <c r="X514" s="2"/>
      <c r="Y514" s="2"/>
      <c r="Z514" s="2"/>
      <c r="AA514" s="3"/>
      <c r="AC514" s="9">
        <v>39.0</v>
      </c>
      <c r="AD514" s="10">
        <v>44712.0</v>
      </c>
      <c r="AE514" s="2"/>
      <c r="AF514" s="2"/>
      <c r="AG514" s="2"/>
      <c r="AH514" s="3"/>
    </row>
    <row r="515" ht="14.25" customHeight="1">
      <c r="A515" s="14">
        <v>3.0</v>
      </c>
      <c r="B515" s="2"/>
      <c r="C515" s="3"/>
      <c r="D515" s="39">
        <v>4.0</v>
      </c>
      <c r="E515" s="2"/>
      <c r="F515" s="3"/>
      <c r="H515" s="14">
        <v>6.0</v>
      </c>
      <c r="I515" s="2"/>
      <c r="J515" s="3"/>
      <c r="K515" s="15">
        <v>6.0</v>
      </c>
      <c r="L515" s="2"/>
      <c r="M515" s="3"/>
      <c r="O515" s="14">
        <v>3.0</v>
      </c>
      <c r="P515" s="2"/>
      <c r="Q515" s="3"/>
      <c r="R515" s="39">
        <v>4.0</v>
      </c>
      <c r="S515" s="2"/>
      <c r="T515" s="3"/>
      <c r="V515" s="14">
        <v>4.0</v>
      </c>
      <c r="W515" s="2"/>
      <c r="X515" s="3"/>
      <c r="Y515" s="39">
        <v>3.0</v>
      </c>
      <c r="Z515" s="2"/>
      <c r="AA515" s="3"/>
      <c r="AC515" s="14">
        <v>7.0</v>
      </c>
      <c r="AD515" s="2"/>
      <c r="AE515" s="3"/>
      <c r="AF515" s="39">
        <v>4.0</v>
      </c>
      <c r="AG515" s="2"/>
      <c r="AH515" s="3"/>
    </row>
    <row r="516" ht="12.0" customHeight="1">
      <c r="A516" s="66"/>
      <c r="B516" s="61" t="s">
        <v>69</v>
      </c>
      <c r="C516" s="62" t="s">
        <v>70</v>
      </c>
      <c r="D516" s="94"/>
      <c r="E516" s="95" t="s">
        <v>69</v>
      </c>
      <c r="F516" s="96" t="s">
        <v>70</v>
      </c>
      <c r="H516" s="66"/>
      <c r="I516" s="61" t="s">
        <v>69</v>
      </c>
      <c r="J516" s="62" t="s">
        <v>70</v>
      </c>
      <c r="K516" s="63"/>
      <c r="L516" s="64" t="s">
        <v>69</v>
      </c>
      <c r="M516" s="65" t="s">
        <v>70</v>
      </c>
      <c r="O516" s="66"/>
      <c r="P516" s="61" t="s">
        <v>69</v>
      </c>
      <c r="Q516" s="62" t="s">
        <v>70</v>
      </c>
      <c r="R516" s="94"/>
      <c r="S516" s="95" t="s">
        <v>69</v>
      </c>
      <c r="T516" s="96" t="s">
        <v>70</v>
      </c>
      <c r="V516" s="66"/>
      <c r="W516" s="61" t="s">
        <v>69</v>
      </c>
      <c r="X516" s="62" t="s">
        <v>70</v>
      </c>
      <c r="Y516" s="94"/>
      <c r="Z516" s="95" t="s">
        <v>69</v>
      </c>
      <c r="AA516" s="96" t="s">
        <v>70</v>
      </c>
      <c r="AC516" s="66"/>
      <c r="AD516" s="61" t="s">
        <v>69</v>
      </c>
      <c r="AE516" s="62" t="s">
        <v>70</v>
      </c>
      <c r="AF516" s="94"/>
      <c r="AG516" s="95" t="s">
        <v>69</v>
      </c>
      <c r="AH516" s="96" t="s">
        <v>70</v>
      </c>
    </row>
    <row r="517" ht="14.25" customHeight="1">
      <c r="A517" s="67" t="s">
        <v>18</v>
      </c>
      <c r="B517" s="68"/>
      <c r="C517" s="69"/>
      <c r="D517" s="97" t="s">
        <v>10</v>
      </c>
      <c r="E517" s="98"/>
      <c r="F517" s="99"/>
      <c r="H517" s="67" t="s">
        <v>18</v>
      </c>
      <c r="I517" s="68">
        <v>1.0</v>
      </c>
      <c r="J517" s="69"/>
      <c r="K517" s="169" t="s">
        <v>5</v>
      </c>
      <c r="L517" s="21">
        <v>1.0</v>
      </c>
      <c r="M517" s="71">
        <v>3.0</v>
      </c>
      <c r="O517" s="67" t="s">
        <v>175</v>
      </c>
      <c r="P517" s="68">
        <v>2.0</v>
      </c>
      <c r="Q517" s="69"/>
      <c r="R517" s="97" t="s">
        <v>10</v>
      </c>
      <c r="S517" s="98"/>
      <c r="T517" s="99"/>
      <c r="V517" s="67" t="s">
        <v>10</v>
      </c>
      <c r="W517" s="68">
        <v>1.0</v>
      </c>
      <c r="X517" s="69"/>
      <c r="Y517" s="97" t="s">
        <v>11</v>
      </c>
      <c r="Z517" s="98">
        <v>1.0</v>
      </c>
      <c r="AA517" s="99">
        <v>1.0</v>
      </c>
      <c r="AC517" s="67" t="s">
        <v>10</v>
      </c>
      <c r="AD517" s="68">
        <v>2.0</v>
      </c>
      <c r="AE517" s="69">
        <v>1.0</v>
      </c>
      <c r="AF517" s="97" t="s">
        <v>11</v>
      </c>
      <c r="AG517" s="98"/>
      <c r="AH517" s="99"/>
    </row>
    <row r="518" ht="14.25" customHeight="1">
      <c r="A518" s="72" t="s">
        <v>13</v>
      </c>
      <c r="B518" s="73"/>
      <c r="C518" s="69">
        <v>1.0</v>
      </c>
      <c r="D518" s="100" t="s">
        <v>5</v>
      </c>
      <c r="E518" s="101">
        <v>2.0</v>
      </c>
      <c r="F518" s="102">
        <v>1.0</v>
      </c>
      <c r="H518" s="72" t="s">
        <v>225</v>
      </c>
      <c r="I518" s="73">
        <v>2.0</v>
      </c>
      <c r="J518" s="69"/>
      <c r="K518" s="170" t="s">
        <v>57</v>
      </c>
      <c r="L518" s="28">
        <v>1.0</v>
      </c>
      <c r="M518" s="75"/>
      <c r="O518" s="72" t="s">
        <v>225</v>
      </c>
      <c r="P518" s="73"/>
      <c r="Q518" s="69">
        <v>1.0</v>
      </c>
      <c r="R518" s="100" t="s">
        <v>5</v>
      </c>
      <c r="S518" s="101">
        <v>1.0</v>
      </c>
      <c r="T518" s="102">
        <v>1.0</v>
      </c>
      <c r="V518" s="72" t="s">
        <v>4</v>
      </c>
      <c r="W518" s="73"/>
      <c r="X518" s="69"/>
      <c r="Y518" s="100" t="s">
        <v>17</v>
      </c>
      <c r="Z518" s="101"/>
      <c r="AA518" s="102"/>
      <c r="AC518" s="72" t="s">
        <v>5</v>
      </c>
      <c r="AD518" s="73">
        <v>1.0</v>
      </c>
      <c r="AE518" s="69">
        <v>1.0</v>
      </c>
      <c r="AF518" s="100" t="s">
        <v>6</v>
      </c>
      <c r="AG518" s="101">
        <v>2.0</v>
      </c>
      <c r="AH518" s="102"/>
    </row>
    <row r="519" ht="14.25" customHeight="1">
      <c r="A519" s="72" t="s">
        <v>225</v>
      </c>
      <c r="B519" s="73">
        <v>1.0</v>
      </c>
      <c r="C519" s="69"/>
      <c r="D519" s="100" t="s">
        <v>17</v>
      </c>
      <c r="E519" s="101">
        <v>2.0</v>
      </c>
      <c r="F519" s="102"/>
      <c r="H519" s="72" t="s">
        <v>166</v>
      </c>
      <c r="I519" s="73">
        <v>2.0</v>
      </c>
      <c r="J519" s="69">
        <v>2.0</v>
      </c>
      <c r="K519" s="170" t="s">
        <v>20</v>
      </c>
      <c r="L519" s="28">
        <v>2.0</v>
      </c>
      <c r="M519" s="75"/>
      <c r="O519" s="72" t="s">
        <v>166</v>
      </c>
      <c r="P519" s="73"/>
      <c r="Q519" s="69"/>
      <c r="R519" s="100" t="s">
        <v>20</v>
      </c>
      <c r="S519" s="101"/>
      <c r="T519" s="102"/>
      <c r="V519" s="72" t="s">
        <v>20</v>
      </c>
      <c r="W519" s="73">
        <v>1.0</v>
      </c>
      <c r="X519" s="69">
        <v>1.0</v>
      </c>
      <c r="Y519" s="100" t="s">
        <v>7</v>
      </c>
      <c r="Z519" s="101">
        <v>1.0</v>
      </c>
      <c r="AA519" s="102">
        <v>1.0</v>
      </c>
      <c r="AC519" s="72" t="s">
        <v>17</v>
      </c>
      <c r="AD519" s="73">
        <v>2.0</v>
      </c>
      <c r="AE519" s="69">
        <v>1.0</v>
      </c>
      <c r="AF519" s="100" t="s">
        <v>4</v>
      </c>
      <c r="AG519" s="101">
        <v>1.0</v>
      </c>
      <c r="AH519" s="102">
        <v>2.0</v>
      </c>
    </row>
    <row r="520" ht="14.25" customHeight="1">
      <c r="A520" s="72" t="s">
        <v>4</v>
      </c>
      <c r="B520" s="73">
        <v>1.0</v>
      </c>
      <c r="C520" s="69">
        <v>1.0</v>
      </c>
      <c r="D520" s="100" t="s">
        <v>166</v>
      </c>
      <c r="E520" s="101"/>
      <c r="F520" s="102">
        <v>1.0</v>
      </c>
      <c r="H520" s="72" t="s">
        <v>10</v>
      </c>
      <c r="I520" s="73"/>
      <c r="J520" s="69">
        <v>1.0</v>
      </c>
      <c r="K520" s="170" t="s">
        <v>7</v>
      </c>
      <c r="L520" s="28"/>
      <c r="M520" s="75">
        <v>1.0</v>
      </c>
      <c r="O520" s="72" t="s">
        <v>211</v>
      </c>
      <c r="P520" s="73">
        <v>1.0</v>
      </c>
      <c r="Q520" s="69"/>
      <c r="R520" s="100" t="s">
        <v>131</v>
      </c>
      <c r="S520" s="101">
        <v>1.0</v>
      </c>
      <c r="T520" s="102"/>
      <c r="V520" s="72" t="s">
        <v>225</v>
      </c>
      <c r="W520" s="73">
        <v>1.0</v>
      </c>
      <c r="X520" s="69"/>
      <c r="Y520" s="100" t="s">
        <v>18</v>
      </c>
      <c r="Z520" s="101"/>
      <c r="AA520" s="102"/>
      <c r="AC520" s="72" t="s">
        <v>20</v>
      </c>
      <c r="AD520" s="73">
        <v>2.0</v>
      </c>
      <c r="AE520" s="69"/>
      <c r="AF520" s="100" t="s">
        <v>263</v>
      </c>
      <c r="AG520" s="101">
        <v>1.0</v>
      </c>
      <c r="AH520" s="102"/>
    </row>
    <row r="521" ht="14.25" customHeight="1">
      <c r="A521" s="77" t="s">
        <v>9</v>
      </c>
      <c r="B521" s="78">
        <v>1.0</v>
      </c>
      <c r="C521" s="82"/>
      <c r="D521" s="103" t="s">
        <v>7</v>
      </c>
      <c r="E521" s="104"/>
      <c r="F521" s="105">
        <v>2.0</v>
      </c>
      <c r="H521" s="77" t="s">
        <v>4</v>
      </c>
      <c r="I521" s="78">
        <v>1.0</v>
      </c>
      <c r="J521" s="82"/>
      <c r="K521" s="166" t="s">
        <v>17</v>
      </c>
      <c r="L521" s="34">
        <v>2.0</v>
      </c>
      <c r="M521" s="81">
        <v>1.0</v>
      </c>
      <c r="O521" s="77" t="s">
        <v>18</v>
      </c>
      <c r="P521" s="78"/>
      <c r="Q521" s="82"/>
      <c r="R521" s="103" t="s">
        <v>7</v>
      </c>
      <c r="S521" s="104">
        <v>2.0</v>
      </c>
      <c r="T521" s="105"/>
      <c r="V521" s="77" t="s">
        <v>5</v>
      </c>
      <c r="W521" s="78">
        <v>1.0</v>
      </c>
      <c r="X521" s="82"/>
      <c r="Y521" s="103" t="s">
        <v>166</v>
      </c>
      <c r="Z521" s="104">
        <v>1.0</v>
      </c>
      <c r="AA521" s="105"/>
      <c r="AC521" s="77" t="s">
        <v>9</v>
      </c>
      <c r="AD521" s="78"/>
      <c r="AE521" s="82">
        <v>1.0</v>
      </c>
      <c r="AF521" s="103" t="s">
        <v>166</v>
      </c>
      <c r="AG521" s="104"/>
      <c r="AH521" s="105"/>
    </row>
    <row r="522" ht="14.25" customHeight="1">
      <c r="R522" s="201"/>
      <c r="S522" s="201"/>
    </row>
    <row r="523" ht="14.25" customHeight="1"/>
    <row r="524" ht="14.25" customHeight="1">
      <c r="V524" s="90"/>
      <c r="W524" s="90"/>
      <c r="X524" s="90"/>
      <c r="Y524" s="90"/>
      <c r="Z524" s="90"/>
    </row>
    <row r="525" ht="14.25" customHeight="1">
      <c r="A525" s="51" t="s">
        <v>264</v>
      </c>
      <c r="B525" s="2"/>
      <c r="C525" s="2"/>
      <c r="D525" s="2"/>
      <c r="E525" s="3"/>
      <c r="V525" s="92" t="s">
        <v>3</v>
      </c>
      <c r="W525" s="93"/>
      <c r="X525" s="30"/>
      <c r="Y525" s="50">
        <f>A515+D515+H515+K515+O515+R515+V515+Y515+AC515+AF515</f>
        <v>44</v>
      </c>
      <c r="Z525" s="30"/>
    </row>
    <row r="526" ht="14.25" customHeight="1"/>
    <row r="527" ht="14.25" customHeight="1">
      <c r="A527" s="52" t="s">
        <v>8</v>
      </c>
      <c r="B527" s="22">
        <v>6.0</v>
      </c>
      <c r="D527" s="52" t="s">
        <v>257</v>
      </c>
      <c r="E527" s="22">
        <v>2.0</v>
      </c>
    </row>
    <row r="528" ht="14.25" customHeight="1">
      <c r="A528" s="52" t="s">
        <v>61</v>
      </c>
      <c r="B528" s="22">
        <v>6.0</v>
      </c>
      <c r="D528" s="52" t="s">
        <v>41</v>
      </c>
      <c r="E528" s="22">
        <v>1.0</v>
      </c>
    </row>
    <row r="529" ht="14.25" customHeight="1">
      <c r="A529" s="52" t="s">
        <v>38</v>
      </c>
      <c r="B529" s="22">
        <v>5.0</v>
      </c>
      <c r="D529" s="52" t="s">
        <v>84</v>
      </c>
      <c r="E529" s="22">
        <v>1.0</v>
      </c>
    </row>
    <row r="530" ht="14.25" customHeight="1">
      <c r="A530" s="52" t="s">
        <v>226</v>
      </c>
      <c r="B530" s="22">
        <v>4.0</v>
      </c>
      <c r="D530" s="52" t="s">
        <v>91</v>
      </c>
      <c r="E530" s="22">
        <v>1.0</v>
      </c>
    </row>
    <row r="531" ht="14.25" customHeight="1">
      <c r="A531" s="52" t="s">
        <v>29</v>
      </c>
      <c r="B531" s="22">
        <v>3.0</v>
      </c>
      <c r="D531" s="52" t="s">
        <v>265</v>
      </c>
      <c r="E531" s="22">
        <v>1.0</v>
      </c>
    </row>
    <row r="532" ht="14.25" customHeight="1">
      <c r="A532" s="52" t="s">
        <v>203</v>
      </c>
      <c r="B532" s="22">
        <v>3.0</v>
      </c>
      <c r="D532" s="52" t="s">
        <v>134</v>
      </c>
      <c r="E532" s="22">
        <v>1.0</v>
      </c>
    </row>
    <row r="533" ht="14.25" customHeight="1">
      <c r="A533" s="52" t="s">
        <v>82</v>
      </c>
      <c r="B533" s="22">
        <v>3.0</v>
      </c>
      <c r="D533" s="52" t="s">
        <v>266</v>
      </c>
      <c r="E533" s="22">
        <v>1.0</v>
      </c>
    </row>
    <row r="534" ht="14.25" customHeight="1">
      <c r="A534" s="52" t="s">
        <v>49</v>
      </c>
      <c r="B534" s="22">
        <v>3.0</v>
      </c>
      <c r="D534" s="52" t="s">
        <v>267</v>
      </c>
      <c r="E534" s="22">
        <v>1.0</v>
      </c>
    </row>
    <row r="535" ht="14.25" customHeight="1">
      <c r="A535" s="52" t="s">
        <v>251</v>
      </c>
      <c r="B535" s="22">
        <v>2.0</v>
      </c>
    </row>
    <row r="536" ht="14.25" customHeight="1">
      <c r="B536" s="22"/>
    </row>
    <row r="537" ht="14.25" customHeight="1"/>
    <row r="538" ht="14.25" customHeight="1">
      <c r="P538" s="8">
        <v>44713.0</v>
      </c>
      <c r="Q538" s="2"/>
      <c r="R538" s="2"/>
      <c r="S538" s="3"/>
      <c r="AC538" s="22"/>
    </row>
    <row r="539" ht="14.25" customHeight="1"/>
    <row r="540" ht="14.25" customHeight="1">
      <c r="A540" s="9">
        <v>40.0</v>
      </c>
      <c r="B540" s="10">
        <v>44719.0</v>
      </c>
      <c r="C540" s="2"/>
      <c r="D540" s="2"/>
      <c r="E540" s="2"/>
      <c r="F540" s="3"/>
      <c r="H540" s="9">
        <v>41.0</v>
      </c>
      <c r="I540" s="10">
        <v>44726.0</v>
      </c>
      <c r="J540" s="2"/>
      <c r="K540" s="2"/>
      <c r="L540" s="2"/>
      <c r="M540" s="3"/>
      <c r="O540" s="9">
        <v>42.0</v>
      </c>
      <c r="P540" s="10">
        <v>44733.0</v>
      </c>
      <c r="Q540" s="2"/>
      <c r="R540" s="2"/>
      <c r="S540" s="2"/>
      <c r="T540" s="3"/>
      <c r="V540" s="9">
        <v>43.0</v>
      </c>
      <c r="W540" s="10">
        <v>44739.0</v>
      </c>
      <c r="X540" s="2"/>
      <c r="Y540" s="2"/>
      <c r="Z540" s="2"/>
      <c r="AA540" s="3"/>
      <c r="AC540" s="51" t="s">
        <v>268</v>
      </c>
      <c r="AD540" s="2"/>
      <c r="AE540" s="2"/>
      <c r="AF540" s="2"/>
      <c r="AG540" s="3"/>
    </row>
    <row r="541" ht="14.25" customHeight="1">
      <c r="A541" s="14">
        <v>3.0</v>
      </c>
      <c r="B541" s="2"/>
      <c r="C541" s="3"/>
      <c r="D541" s="39">
        <v>7.0</v>
      </c>
      <c r="E541" s="2"/>
      <c r="F541" s="3"/>
      <c r="H541" s="14">
        <v>6.0</v>
      </c>
      <c r="I541" s="2"/>
      <c r="J541" s="3"/>
      <c r="K541" s="39">
        <v>8.0</v>
      </c>
      <c r="L541" s="2"/>
      <c r="M541" s="3"/>
      <c r="O541" s="14">
        <v>5.0</v>
      </c>
      <c r="P541" s="2"/>
      <c r="Q541" s="3"/>
      <c r="R541" s="15">
        <v>3.0</v>
      </c>
      <c r="S541" s="2"/>
      <c r="T541" s="3"/>
      <c r="V541" s="14">
        <v>3.0</v>
      </c>
      <c r="W541" s="2"/>
      <c r="X541" s="3"/>
      <c r="Y541" s="39">
        <v>6.0</v>
      </c>
      <c r="Z541" s="2"/>
      <c r="AA541" s="3"/>
      <c r="AC541" s="200"/>
    </row>
    <row r="542" ht="12.0" customHeight="1">
      <c r="A542" s="66"/>
      <c r="B542" s="61" t="s">
        <v>69</v>
      </c>
      <c r="C542" s="62" t="s">
        <v>70</v>
      </c>
      <c r="D542" s="94"/>
      <c r="E542" s="95" t="s">
        <v>69</v>
      </c>
      <c r="F542" s="96" t="s">
        <v>70</v>
      </c>
      <c r="H542" s="66"/>
      <c r="I542" s="61" t="s">
        <v>69</v>
      </c>
      <c r="J542" s="61" t="s">
        <v>70</v>
      </c>
      <c r="K542" s="94"/>
      <c r="L542" s="95" t="s">
        <v>69</v>
      </c>
      <c r="M542" s="96" t="s">
        <v>70</v>
      </c>
      <c r="O542" s="66"/>
      <c r="P542" s="61" t="s">
        <v>69</v>
      </c>
      <c r="Q542" s="62" t="s">
        <v>70</v>
      </c>
      <c r="R542" s="63"/>
      <c r="S542" s="64" t="s">
        <v>69</v>
      </c>
      <c r="T542" s="65" t="s">
        <v>70</v>
      </c>
      <c r="V542" s="66"/>
      <c r="W542" s="61" t="s">
        <v>69</v>
      </c>
      <c r="X542" s="62" t="s">
        <v>70</v>
      </c>
      <c r="Y542" s="94"/>
      <c r="Z542" s="95" t="s">
        <v>69</v>
      </c>
      <c r="AA542" s="96" t="s">
        <v>70</v>
      </c>
      <c r="AC542" s="52" t="s">
        <v>8</v>
      </c>
      <c r="AD542" s="22">
        <v>7.0</v>
      </c>
      <c r="AF542" s="38" t="s">
        <v>29</v>
      </c>
      <c r="AG542" s="22">
        <v>2.0</v>
      </c>
    </row>
    <row r="543" ht="14.25" customHeight="1">
      <c r="A543" s="67" t="s">
        <v>5</v>
      </c>
      <c r="B543" s="68">
        <v>1.0</v>
      </c>
      <c r="C543" s="69"/>
      <c r="D543" s="97" t="s">
        <v>13</v>
      </c>
      <c r="E543" s="98"/>
      <c r="F543" s="99">
        <v>3.0</v>
      </c>
      <c r="H543" s="67" t="s">
        <v>175</v>
      </c>
      <c r="I543" s="68">
        <v>1.0</v>
      </c>
      <c r="J543" s="191"/>
      <c r="K543" s="97" t="s">
        <v>106</v>
      </c>
      <c r="L543" s="98">
        <v>1.0</v>
      </c>
      <c r="M543" s="99">
        <v>2.0</v>
      </c>
      <c r="O543" s="67" t="s">
        <v>39</v>
      </c>
      <c r="P543" s="68">
        <v>1.0</v>
      </c>
      <c r="Q543" s="69"/>
      <c r="R543" s="169" t="s">
        <v>5</v>
      </c>
      <c r="S543" s="21">
        <v>2.0</v>
      </c>
      <c r="T543" s="71"/>
      <c r="V543" s="67" t="s">
        <v>225</v>
      </c>
      <c r="W543" s="68">
        <v>1.0</v>
      </c>
      <c r="X543" s="69"/>
      <c r="Y543" s="97" t="s">
        <v>20</v>
      </c>
      <c r="Z543" s="98">
        <v>2.0</v>
      </c>
      <c r="AA543" s="99">
        <v>1.0</v>
      </c>
      <c r="AC543" s="38" t="s">
        <v>61</v>
      </c>
      <c r="AD543" s="22">
        <v>5.0</v>
      </c>
      <c r="AF543" s="52" t="s">
        <v>41</v>
      </c>
      <c r="AG543" s="22">
        <v>2.0</v>
      </c>
    </row>
    <row r="544" ht="14.25" customHeight="1">
      <c r="A544" s="72" t="s">
        <v>4</v>
      </c>
      <c r="B544" s="73"/>
      <c r="C544" s="69"/>
      <c r="D544" s="100" t="s">
        <v>225</v>
      </c>
      <c r="E544" s="101">
        <v>1.0</v>
      </c>
      <c r="F544" s="102"/>
      <c r="H544" s="72" t="s">
        <v>11</v>
      </c>
      <c r="I544" s="73">
        <v>1.0</v>
      </c>
      <c r="J544" s="191"/>
      <c r="K544" s="100" t="s">
        <v>5</v>
      </c>
      <c r="L544" s="101">
        <v>2.0</v>
      </c>
      <c r="M544" s="102">
        <v>1.0</v>
      </c>
      <c r="O544" s="72" t="s">
        <v>7</v>
      </c>
      <c r="P544" s="73"/>
      <c r="Q544" s="69">
        <v>1.0</v>
      </c>
      <c r="R544" s="170" t="s">
        <v>17</v>
      </c>
      <c r="S544" s="28"/>
      <c r="T544" s="75">
        <v>1.0</v>
      </c>
      <c r="V544" s="72" t="s">
        <v>13</v>
      </c>
      <c r="W544" s="73"/>
      <c r="X544" s="69">
        <v>1.0</v>
      </c>
      <c r="Y544" s="100" t="s">
        <v>7</v>
      </c>
      <c r="Z544" s="101">
        <v>2.0</v>
      </c>
      <c r="AA544" s="102">
        <v>2.0</v>
      </c>
      <c r="AC544" s="52" t="s">
        <v>226</v>
      </c>
      <c r="AD544" s="22">
        <v>4.0</v>
      </c>
      <c r="AF544" s="38" t="s">
        <v>251</v>
      </c>
      <c r="AG544" s="22">
        <v>1.0</v>
      </c>
    </row>
    <row r="545" ht="14.25" customHeight="1">
      <c r="A545" s="72" t="s">
        <v>7</v>
      </c>
      <c r="B545" s="73"/>
      <c r="C545" s="69"/>
      <c r="D545" s="100" t="s">
        <v>20</v>
      </c>
      <c r="E545" s="101">
        <v>1.0</v>
      </c>
      <c r="F545" s="102">
        <v>1.0</v>
      </c>
      <c r="H545" s="72" t="s">
        <v>166</v>
      </c>
      <c r="I545" s="73">
        <v>1.0</v>
      </c>
      <c r="J545" s="191"/>
      <c r="K545" s="100" t="s">
        <v>211</v>
      </c>
      <c r="L545" s="101">
        <v>3.0</v>
      </c>
      <c r="M545" s="102">
        <v>2.0</v>
      </c>
      <c r="O545" s="72" t="s">
        <v>57</v>
      </c>
      <c r="P545" s="73">
        <v>1.0</v>
      </c>
      <c r="Q545" s="69"/>
      <c r="R545" s="170" t="s">
        <v>225</v>
      </c>
      <c r="S545" s="28">
        <v>1.0</v>
      </c>
      <c r="T545" s="75">
        <v>1.0</v>
      </c>
      <c r="V545" s="72" t="s">
        <v>11</v>
      </c>
      <c r="W545" s="73">
        <v>1.0</v>
      </c>
      <c r="X545" s="69">
        <v>1.0</v>
      </c>
      <c r="Y545" s="100" t="s">
        <v>17</v>
      </c>
      <c r="Z545" s="101"/>
      <c r="AA545" s="102">
        <v>1.0</v>
      </c>
      <c r="AC545" s="38" t="s">
        <v>91</v>
      </c>
      <c r="AD545" s="22">
        <v>3.0</v>
      </c>
      <c r="AF545" s="23" t="s">
        <v>84</v>
      </c>
      <c r="AG545" s="22">
        <v>2.0</v>
      </c>
    </row>
    <row r="546" ht="14.25" customHeight="1">
      <c r="A546" s="72" t="s">
        <v>10</v>
      </c>
      <c r="B546" s="73">
        <v>1.0</v>
      </c>
      <c r="C546" s="69"/>
      <c r="D546" s="100" t="s">
        <v>18</v>
      </c>
      <c r="E546" s="101"/>
      <c r="F546" s="102"/>
      <c r="H546" s="72" t="s">
        <v>39</v>
      </c>
      <c r="I546" s="73">
        <v>1.0</v>
      </c>
      <c r="J546" s="191"/>
      <c r="K546" s="100" t="s">
        <v>18</v>
      </c>
      <c r="L546" s="101">
        <v>2.0</v>
      </c>
      <c r="M546" s="102"/>
      <c r="O546" s="72" t="s">
        <v>4</v>
      </c>
      <c r="P546" s="73">
        <v>2.0</v>
      </c>
      <c r="Q546" s="69"/>
      <c r="R546" s="170" t="s">
        <v>153</v>
      </c>
      <c r="S546" s="28"/>
      <c r="T546" s="75">
        <v>1.0</v>
      </c>
      <c r="V546" s="72" t="s">
        <v>166</v>
      </c>
      <c r="W546" s="73"/>
      <c r="X546" s="69">
        <v>1.0</v>
      </c>
      <c r="Y546" s="100" t="s">
        <v>5</v>
      </c>
      <c r="Z546" s="101">
        <v>2.0</v>
      </c>
      <c r="AA546" s="102"/>
      <c r="AC546" s="23" t="s">
        <v>266</v>
      </c>
      <c r="AD546" s="22">
        <v>3.0</v>
      </c>
      <c r="AF546" s="23" t="s">
        <v>203</v>
      </c>
      <c r="AG546" s="22">
        <v>1.0</v>
      </c>
    </row>
    <row r="547" ht="14.25" customHeight="1">
      <c r="A547" s="77" t="s">
        <v>166</v>
      </c>
      <c r="B547" s="78"/>
      <c r="C547" s="82">
        <v>1.0</v>
      </c>
      <c r="D547" s="103" t="s">
        <v>17</v>
      </c>
      <c r="E547" s="104">
        <v>5.0</v>
      </c>
      <c r="F547" s="105">
        <v>1.0</v>
      </c>
      <c r="H547" s="77" t="s">
        <v>225</v>
      </c>
      <c r="I547" s="78">
        <v>1.0</v>
      </c>
      <c r="J547" s="190">
        <v>2.0</v>
      </c>
      <c r="K547" s="103" t="s">
        <v>7</v>
      </c>
      <c r="L547" s="104"/>
      <c r="M547" s="105">
        <v>1.0</v>
      </c>
      <c r="O547" s="77" t="s">
        <v>18</v>
      </c>
      <c r="P547" s="78">
        <v>1.0</v>
      </c>
      <c r="Q547" s="190">
        <v>2.0</v>
      </c>
      <c r="R547" s="166" t="s">
        <v>10</v>
      </c>
      <c r="S547" s="34"/>
      <c r="T547" s="81"/>
      <c r="V547" s="77" t="s">
        <v>57</v>
      </c>
      <c r="W547" s="78">
        <v>1.0</v>
      </c>
      <c r="X547" s="82"/>
      <c r="Y547" s="103" t="s">
        <v>18</v>
      </c>
      <c r="Z547" s="104"/>
      <c r="AA547" s="105"/>
      <c r="AC547" s="38" t="s">
        <v>38</v>
      </c>
      <c r="AD547" s="22">
        <v>3.0</v>
      </c>
      <c r="AF547" s="38"/>
      <c r="AG547" s="22"/>
    </row>
    <row r="548" ht="14.25" customHeight="1">
      <c r="A548" s="77" t="s">
        <v>180</v>
      </c>
      <c r="B548" s="78">
        <v>1.0</v>
      </c>
      <c r="H548" s="77" t="s">
        <v>114</v>
      </c>
      <c r="I548" s="78">
        <v>1.0</v>
      </c>
      <c r="V548" s="135"/>
      <c r="W548" s="136"/>
      <c r="AC548" s="23" t="s">
        <v>174</v>
      </c>
      <c r="AD548" s="22">
        <v>2.0</v>
      </c>
      <c r="AF548" s="38" t="s">
        <v>180</v>
      </c>
      <c r="AG548" s="22">
        <v>1.0</v>
      </c>
    </row>
    <row r="549" ht="14.25" customHeight="1">
      <c r="A549" s="38"/>
      <c r="D549" s="23"/>
      <c r="AC549" s="23" t="s">
        <v>49</v>
      </c>
      <c r="AD549" s="22">
        <v>2.0</v>
      </c>
      <c r="AF549" s="38" t="s">
        <v>114</v>
      </c>
      <c r="AG549" s="22">
        <v>1.0</v>
      </c>
    </row>
    <row r="550" ht="14.25" customHeight="1">
      <c r="A550" s="38"/>
      <c r="V550" s="90"/>
      <c r="W550" s="90"/>
      <c r="X550" s="90"/>
      <c r="Y550" s="90"/>
      <c r="Z550" s="90"/>
      <c r="AC550" s="23" t="s">
        <v>82</v>
      </c>
      <c r="AD550" s="22">
        <v>2.0</v>
      </c>
      <c r="AF550" s="23"/>
    </row>
    <row r="551" ht="14.25" customHeight="1">
      <c r="A551" s="38"/>
      <c r="V551" s="92" t="s">
        <v>3</v>
      </c>
      <c r="W551" s="93"/>
      <c r="X551" s="30"/>
      <c r="Y551" s="50">
        <f>A541+D541+H541+K541+O541+R541+V541+Y541</f>
        <v>41</v>
      </c>
      <c r="Z551" s="30"/>
    </row>
    <row r="552" ht="14.25" customHeight="1"/>
    <row r="553" ht="14.25" customHeight="1"/>
    <row r="554" ht="14.25" customHeight="1">
      <c r="P554" s="8">
        <v>44743.0</v>
      </c>
      <c r="Q554" s="2"/>
      <c r="R554" s="2"/>
      <c r="S554" s="3"/>
    </row>
    <row r="555" ht="14.25" customHeight="1"/>
    <row r="556" ht="14.25" customHeight="1">
      <c r="A556" s="9">
        <v>44.0</v>
      </c>
      <c r="B556" s="10">
        <v>44747.0</v>
      </c>
      <c r="C556" s="2"/>
      <c r="D556" s="2"/>
      <c r="E556" s="2"/>
      <c r="F556" s="3"/>
      <c r="H556" s="9">
        <v>45.0</v>
      </c>
      <c r="I556" s="10">
        <v>44754.0</v>
      </c>
      <c r="J556" s="2"/>
      <c r="K556" s="2"/>
      <c r="L556" s="2"/>
      <c r="M556" s="3"/>
      <c r="O556" s="9">
        <v>46.0</v>
      </c>
      <c r="P556" s="10">
        <v>44761.0</v>
      </c>
      <c r="Q556" s="2"/>
      <c r="R556" s="2"/>
      <c r="S556" s="2"/>
      <c r="T556" s="3"/>
      <c r="V556" s="9">
        <v>47.0</v>
      </c>
      <c r="W556" s="10">
        <v>44768.0</v>
      </c>
      <c r="X556" s="2"/>
      <c r="Y556" s="2"/>
      <c r="Z556" s="2"/>
      <c r="AA556" s="3"/>
      <c r="AC556" s="51" t="s">
        <v>269</v>
      </c>
      <c r="AD556" s="2"/>
      <c r="AE556" s="2"/>
      <c r="AF556" s="2"/>
      <c r="AG556" s="3"/>
    </row>
    <row r="557" ht="14.25" customHeight="1">
      <c r="A557" s="14">
        <v>3.0</v>
      </c>
      <c r="B557" s="2"/>
      <c r="C557" s="3"/>
      <c r="D557" s="15">
        <v>8.0</v>
      </c>
      <c r="E557" s="2"/>
      <c r="F557" s="3"/>
      <c r="H557" s="14">
        <v>8.0</v>
      </c>
      <c r="I557" s="2"/>
      <c r="J557" s="3"/>
      <c r="K557" s="147">
        <v>8.0</v>
      </c>
      <c r="L557" s="2"/>
      <c r="M557" s="3"/>
      <c r="O557" s="14">
        <v>3.0</v>
      </c>
      <c r="P557" s="2"/>
      <c r="Q557" s="3"/>
      <c r="R557" s="15">
        <v>4.0</v>
      </c>
      <c r="S557" s="2"/>
      <c r="T557" s="3"/>
      <c r="V557" s="14">
        <v>3.0</v>
      </c>
      <c r="W557" s="2"/>
      <c r="X557" s="3"/>
      <c r="Y557" s="15">
        <v>6.0</v>
      </c>
      <c r="Z557" s="2"/>
      <c r="AA557" s="3"/>
      <c r="AC557" s="200"/>
    </row>
    <row r="558" ht="12.0" customHeight="1">
      <c r="A558" s="66"/>
      <c r="B558" s="61" t="s">
        <v>69</v>
      </c>
      <c r="C558" s="62" t="s">
        <v>70</v>
      </c>
      <c r="D558" s="63"/>
      <c r="E558" s="64" t="s">
        <v>69</v>
      </c>
      <c r="F558" s="65" t="s">
        <v>70</v>
      </c>
      <c r="H558" s="66"/>
      <c r="I558" s="61" t="s">
        <v>69</v>
      </c>
      <c r="J558" s="61" t="s">
        <v>70</v>
      </c>
      <c r="K558" s="149"/>
      <c r="L558" s="202" t="s">
        <v>69</v>
      </c>
      <c r="M558" s="150" t="s">
        <v>70</v>
      </c>
      <c r="O558" s="66"/>
      <c r="P558" s="61" t="s">
        <v>69</v>
      </c>
      <c r="Q558" s="62" t="s">
        <v>70</v>
      </c>
      <c r="R558" s="63"/>
      <c r="S558" s="64" t="s">
        <v>69</v>
      </c>
      <c r="T558" s="65" t="s">
        <v>70</v>
      </c>
      <c r="V558" s="66"/>
      <c r="W558" s="61" t="s">
        <v>69</v>
      </c>
      <c r="X558" s="62" t="s">
        <v>70</v>
      </c>
      <c r="Y558" s="63"/>
      <c r="Z558" s="64" t="s">
        <v>69</v>
      </c>
      <c r="AA558" s="65" t="s">
        <v>70</v>
      </c>
      <c r="AC558" s="52" t="s">
        <v>49</v>
      </c>
      <c r="AD558" s="22">
        <v>8.0</v>
      </c>
      <c r="AF558" s="38" t="s">
        <v>29</v>
      </c>
      <c r="AG558" s="22">
        <v>3.0</v>
      </c>
    </row>
    <row r="559" ht="14.25" customHeight="1">
      <c r="A559" s="67" t="s">
        <v>10</v>
      </c>
      <c r="B559" s="68"/>
      <c r="C559" s="69">
        <v>2.0</v>
      </c>
      <c r="D559" s="169" t="s">
        <v>4</v>
      </c>
      <c r="E559" s="21">
        <v>6.0</v>
      </c>
      <c r="F559" s="71"/>
      <c r="H559" s="67" t="s">
        <v>4</v>
      </c>
      <c r="I559" s="68">
        <v>1.0</v>
      </c>
      <c r="J559" s="191">
        <v>3.0</v>
      </c>
      <c r="K559" s="154" t="s">
        <v>10</v>
      </c>
      <c r="L559" s="155">
        <v>3.0</v>
      </c>
      <c r="M559" s="156">
        <v>1.0</v>
      </c>
      <c r="O559" s="67" t="s">
        <v>18</v>
      </c>
      <c r="P559" s="68"/>
      <c r="Q559" s="69"/>
      <c r="R559" s="169" t="s">
        <v>11</v>
      </c>
      <c r="S559" s="21">
        <v>3.0</v>
      </c>
      <c r="T559" s="71"/>
      <c r="V559" s="67" t="s">
        <v>225</v>
      </c>
      <c r="W559" s="68">
        <v>2.0</v>
      </c>
      <c r="X559" s="69">
        <v>1.0</v>
      </c>
      <c r="Y559" s="169" t="s">
        <v>10</v>
      </c>
      <c r="Z559" s="21"/>
      <c r="AA559" s="71"/>
      <c r="AC559" s="38" t="s">
        <v>226</v>
      </c>
      <c r="AD559" s="22">
        <v>5.0</v>
      </c>
      <c r="AF559" s="52" t="s">
        <v>91</v>
      </c>
      <c r="AG559" s="22">
        <v>2.0</v>
      </c>
    </row>
    <row r="560" ht="14.25" customHeight="1">
      <c r="A560" s="72" t="s">
        <v>7</v>
      </c>
      <c r="B560" s="73"/>
      <c r="C560" s="69">
        <v>1.0</v>
      </c>
      <c r="D560" s="170" t="s">
        <v>11</v>
      </c>
      <c r="E560" s="28">
        <v>1.0</v>
      </c>
      <c r="F560" s="75">
        <v>2.0</v>
      </c>
      <c r="H560" s="72" t="s">
        <v>13</v>
      </c>
      <c r="I560" s="73">
        <v>1.0</v>
      </c>
      <c r="J560" s="191"/>
      <c r="K560" s="157" t="s">
        <v>17</v>
      </c>
      <c r="L560" s="158">
        <v>2.0</v>
      </c>
      <c r="M560" s="159">
        <v>1.0</v>
      </c>
      <c r="O560" s="72" t="s">
        <v>10</v>
      </c>
      <c r="P560" s="73"/>
      <c r="Q560" s="69">
        <v>1.0</v>
      </c>
      <c r="R560" s="170" t="s">
        <v>20</v>
      </c>
      <c r="S560" s="28"/>
      <c r="T560" s="75"/>
      <c r="V560" s="72" t="s">
        <v>166</v>
      </c>
      <c r="W560" s="73"/>
      <c r="X560" s="69">
        <v>1.0</v>
      </c>
      <c r="Y560" s="170" t="s">
        <v>7</v>
      </c>
      <c r="Z560" s="28">
        <v>2.0</v>
      </c>
      <c r="AA560" s="75">
        <v>1.0</v>
      </c>
      <c r="AC560" s="38" t="s">
        <v>8</v>
      </c>
      <c r="AD560" s="22">
        <v>5.0</v>
      </c>
      <c r="AF560" s="38" t="s">
        <v>38</v>
      </c>
      <c r="AG560" s="22">
        <v>1.0</v>
      </c>
    </row>
    <row r="561" ht="14.25" customHeight="1">
      <c r="A561" s="72" t="s">
        <v>166</v>
      </c>
      <c r="B561" s="73">
        <v>2.0</v>
      </c>
      <c r="C561" s="69"/>
      <c r="D561" s="170" t="s">
        <v>17</v>
      </c>
      <c r="E561" s="28">
        <v>1.0</v>
      </c>
      <c r="F561" s="75">
        <v>2.0</v>
      </c>
      <c r="H561" s="72" t="s">
        <v>166</v>
      </c>
      <c r="I561" s="73">
        <v>2.0</v>
      </c>
      <c r="J561" s="191"/>
      <c r="K561" s="157" t="s">
        <v>5</v>
      </c>
      <c r="L561" s="158">
        <v>1.0</v>
      </c>
      <c r="M561" s="159">
        <v>4.0</v>
      </c>
      <c r="O561" s="72" t="s">
        <v>225</v>
      </c>
      <c r="P561" s="73">
        <v>1.0</v>
      </c>
      <c r="Q561" s="69"/>
      <c r="R561" s="170" t="s">
        <v>248</v>
      </c>
      <c r="S561" s="28"/>
      <c r="T561" s="75">
        <v>1.0</v>
      </c>
      <c r="V561" s="72" t="s">
        <v>57</v>
      </c>
      <c r="W561" s="73"/>
      <c r="X561" s="69"/>
      <c r="Y561" s="170" t="s">
        <v>18</v>
      </c>
      <c r="Z561" s="28"/>
      <c r="AA561" s="75">
        <v>1.0</v>
      </c>
      <c r="AC561" s="38" t="s">
        <v>41</v>
      </c>
      <c r="AD561" s="22">
        <v>5.0</v>
      </c>
      <c r="AF561" s="23" t="s">
        <v>174</v>
      </c>
      <c r="AG561" s="22">
        <v>1.0</v>
      </c>
    </row>
    <row r="562" ht="14.25" customHeight="1">
      <c r="A562" s="72" t="s">
        <v>39</v>
      </c>
      <c r="B562" s="73">
        <v>1.0</v>
      </c>
      <c r="C562" s="69"/>
      <c r="D562" s="170" t="s">
        <v>18</v>
      </c>
      <c r="E562" s="28"/>
      <c r="F562" s="75"/>
      <c r="H562" s="72" t="s">
        <v>225</v>
      </c>
      <c r="I562" s="73">
        <v>2.0</v>
      </c>
      <c r="J562" s="191"/>
      <c r="K562" s="157" t="s">
        <v>7</v>
      </c>
      <c r="L562" s="158">
        <v>1.0</v>
      </c>
      <c r="M562" s="159">
        <v>1.0</v>
      </c>
      <c r="O562" s="72" t="s">
        <v>4</v>
      </c>
      <c r="P562" s="73">
        <v>1.0</v>
      </c>
      <c r="Q562" s="69">
        <v>1.0</v>
      </c>
      <c r="R562" s="170" t="s">
        <v>57</v>
      </c>
      <c r="S562" s="28">
        <v>1.0</v>
      </c>
      <c r="T562" s="75"/>
      <c r="V562" s="72" t="s">
        <v>13</v>
      </c>
      <c r="W562" s="73"/>
      <c r="X562" s="69"/>
      <c r="Y562" s="170" t="s">
        <v>5</v>
      </c>
      <c r="Z562" s="28">
        <v>3.0</v>
      </c>
      <c r="AA562" s="75"/>
      <c r="AC562" s="52" t="s">
        <v>203</v>
      </c>
      <c r="AD562" s="22">
        <v>4.0</v>
      </c>
      <c r="AF562" s="23" t="s">
        <v>33</v>
      </c>
      <c r="AG562" s="22">
        <v>1.0</v>
      </c>
    </row>
    <row r="563" ht="14.25" customHeight="1">
      <c r="A563" s="77" t="s">
        <v>57</v>
      </c>
      <c r="B563" s="78"/>
      <c r="C563" s="82"/>
      <c r="D563" s="166" t="s">
        <v>5</v>
      </c>
      <c r="E563" s="34"/>
      <c r="F563" s="81">
        <v>2.0</v>
      </c>
      <c r="H563" s="77" t="s">
        <v>18</v>
      </c>
      <c r="I563" s="78">
        <v>2.0</v>
      </c>
      <c r="J563" s="190">
        <v>1.0</v>
      </c>
      <c r="K563" s="160" t="s">
        <v>20</v>
      </c>
      <c r="L563" s="161">
        <v>1.0</v>
      </c>
      <c r="M563" s="162"/>
      <c r="O563" s="77" t="s">
        <v>5</v>
      </c>
      <c r="P563" s="78">
        <v>1.0</v>
      </c>
      <c r="Q563" s="190">
        <v>1.0</v>
      </c>
      <c r="R563" s="166" t="s">
        <v>7</v>
      </c>
      <c r="S563" s="34"/>
      <c r="T563" s="81"/>
      <c r="V563" s="77" t="s">
        <v>153</v>
      </c>
      <c r="W563" s="78">
        <v>1.0</v>
      </c>
      <c r="X563" s="82"/>
      <c r="Y563" s="166" t="s">
        <v>11</v>
      </c>
      <c r="Z563" s="34">
        <v>1.0</v>
      </c>
      <c r="AA563" s="81"/>
      <c r="AC563" s="52" t="s">
        <v>82</v>
      </c>
      <c r="AD563" s="22">
        <v>3.0</v>
      </c>
      <c r="AF563" s="38" t="s">
        <v>84</v>
      </c>
      <c r="AG563" s="22">
        <v>1.0</v>
      </c>
    </row>
    <row r="564" ht="14.25" customHeight="1">
      <c r="AC564" s="38" t="s">
        <v>61</v>
      </c>
      <c r="AD564" s="22">
        <v>3.0</v>
      </c>
      <c r="AF564" s="52" t="s">
        <v>232</v>
      </c>
      <c r="AG564" s="22">
        <v>1.0</v>
      </c>
    </row>
    <row r="565" ht="14.25" customHeight="1">
      <c r="AC565" s="38"/>
      <c r="AD565" s="22"/>
    </row>
    <row r="566" ht="14.25" customHeight="1">
      <c r="V566" s="90"/>
      <c r="W566" s="90"/>
      <c r="X566" s="90"/>
      <c r="Y566" s="90"/>
      <c r="Z566" s="90"/>
    </row>
    <row r="567" ht="14.25" customHeight="1">
      <c r="V567" s="92" t="s">
        <v>3</v>
      </c>
      <c r="W567" s="93"/>
      <c r="X567" s="30"/>
      <c r="Y567" s="50">
        <f>A557+D557+H557+K557+O557+R557+V557+Y557</f>
        <v>43</v>
      </c>
      <c r="Z567" s="30"/>
    </row>
    <row r="568" ht="14.25" customHeight="1"/>
    <row r="569" ht="14.25" customHeight="1"/>
    <row r="570" ht="14.25" customHeight="1">
      <c r="P570" s="8">
        <v>44774.0</v>
      </c>
      <c r="Q570" s="2"/>
      <c r="R570" s="2"/>
      <c r="S570" s="3"/>
    </row>
    <row r="571" ht="14.25" customHeight="1"/>
    <row r="572" ht="14.25" customHeight="1">
      <c r="A572" s="9">
        <v>48.0</v>
      </c>
      <c r="B572" s="10">
        <v>44789.0</v>
      </c>
      <c r="C572" s="2"/>
      <c r="D572" s="2"/>
      <c r="E572" s="2"/>
      <c r="F572" s="3"/>
      <c r="H572" s="9">
        <v>49.0</v>
      </c>
      <c r="I572" s="10">
        <v>44796.0</v>
      </c>
      <c r="J572" s="2"/>
      <c r="K572" s="2"/>
      <c r="L572" s="2"/>
      <c r="M572" s="3"/>
      <c r="O572" s="9">
        <v>50.0</v>
      </c>
      <c r="P572" s="10">
        <v>44803.0</v>
      </c>
      <c r="Q572" s="2"/>
      <c r="R572" s="2"/>
      <c r="S572" s="2"/>
      <c r="T572" s="3"/>
      <c r="AC572" s="51" t="s">
        <v>270</v>
      </c>
      <c r="AD572" s="2"/>
      <c r="AE572" s="2"/>
      <c r="AF572" s="2"/>
      <c r="AG572" s="3"/>
    </row>
    <row r="573" ht="14.25" customHeight="1">
      <c r="A573" s="14">
        <v>5.0</v>
      </c>
      <c r="B573" s="2"/>
      <c r="C573" s="3"/>
      <c r="D573" s="15">
        <v>6.0</v>
      </c>
      <c r="E573" s="2"/>
      <c r="F573" s="3"/>
      <c r="H573" s="14">
        <v>5.0</v>
      </c>
      <c r="I573" s="2"/>
      <c r="J573" s="3"/>
      <c r="K573" s="15">
        <v>2.0</v>
      </c>
      <c r="L573" s="2"/>
      <c r="M573" s="3"/>
      <c r="O573" s="14">
        <v>5.0</v>
      </c>
      <c r="P573" s="2"/>
      <c r="Q573" s="3"/>
      <c r="R573" s="15">
        <v>4.0</v>
      </c>
      <c r="S573" s="2"/>
      <c r="T573" s="3"/>
    </row>
    <row r="574" ht="12.0" customHeight="1">
      <c r="A574" s="66"/>
      <c r="B574" s="61" t="s">
        <v>69</v>
      </c>
      <c r="C574" s="62" t="s">
        <v>70</v>
      </c>
      <c r="D574" s="63"/>
      <c r="E574" s="64" t="s">
        <v>69</v>
      </c>
      <c r="F574" s="65" t="s">
        <v>70</v>
      </c>
      <c r="H574" s="66"/>
      <c r="I574" s="61" t="s">
        <v>69</v>
      </c>
      <c r="J574" s="62" t="s">
        <v>70</v>
      </c>
      <c r="K574" s="63"/>
      <c r="L574" s="64" t="s">
        <v>69</v>
      </c>
      <c r="M574" s="65" t="s">
        <v>70</v>
      </c>
      <c r="O574" s="66"/>
      <c r="P574" s="61" t="s">
        <v>69</v>
      </c>
      <c r="Q574" s="62" t="s">
        <v>70</v>
      </c>
      <c r="R574" s="63"/>
      <c r="S574" s="64" t="s">
        <v>69</v>
      </c>
      <c r="T574" s="65" t="s">
        <v>70</v>
      </c>
      <c r="AC574" s="52" t="s">
        <v>8</v>
      </c>
      <c r="AD574" s="52">
        <v>6.0</v>
      </c>
      <c r="AF574" s="52" t="s">
        <v>91</v>
      </c>
      <c r="AG574" s="52">
        <v>1.0</v>
      </c>
    </row>
    <row r="575" ht="14.25" customHeight="1">
      <c r="A575" s="67" t="s">
        <v>13</v>
      </c>
      <c r="B575" s="68">
        <v>1.0</v>
      </c>
      <c r="C575" s="69">
        <v>3.0</v>
      </c>
      <c r="D575" s="169" t="s">
        <v>10</v>
      </c>
      <c r="E575" s="21">
        <v>1.0</v>
      </c>
      <c r="F575" s="71"/>
      <c r="H575" s="67" t="s">
        <v>10</v>
      </c>
      <c r="I575" s="68"/>
      <c r="J575" s="69">
        <v>1.0</v>
      </c>
      <c r="K575" s="169" t="s">
        <v>13</v>
      </c>
      <c r="L575" s="21"/>
      <c r="M575" s="71"/>
      <c r="O575" s="67" t="s">
        <v>225</v>
      </c>
      <c r="P575" s="68">
        <v>2.0</v>
      </c>
      <c r="Q575" s="69"/>
      <c r="R575" s="169" t="s">
        <v>57</v>
      </c>
      <c r="S575" s="21"/>
      <c r="T575" s="71"/>
      <c r="AC575" s="52" t="s">
        <v>226</v>
      </c>
      <c r="AD575" s="52">
        <v>5.0</v>
      </c>
      <c r="AF575" s="52" t="s">
        <v>82</v>
      </c>
      <c r="AG575" s="52">
        <v>1.0</v>
      </c>
    </row>
    <row r="576" ht="14.25" customHeight="1">
      <c r="A576" s="72" t="s">
        <v>6</v>
      </c>
      <c r="B576" s="73"/>
      <c r="C576" s="69"/>
      <c r="D576" s="170" t="s">
        <v>7</v>
      </c>
      <c r="E576" s="28"/>
      <c r="F576" s="75">
        <v>1.0</v>
      </c>
      <c r="H576" s="72" t="s">
        <v>166</v>
      </c>
      <c r="I576" s="73">
        <v>2.0</v>
      </c>
      <c r="J576" s="69">
        <v>1.0</v>
      </c>
      <c r="K576" s="170" t="s">
        <v>17</v>
      </c>
      <c r="L576" s="28"/>
      <c r="M576" s="75"/>
      <c r="O576" s="72" t="s">
        <v>7</v>
      </c>
      <c r="P576" s="73">
        <v>1.0</v>
      </c>
      <c r="Q576" s="69">
        <v>1.0</v>
      </c>
      <c r="R576" s="170" t="s">
        <v>4</v>
      </c>
      <c r="S576" s="28">
        <v>3.0</v>
      </c>
      <c r="T576" s="75"/>
      <c r="AC576" s="52" t="s">
        <v>203</v>
      </c>
      <c r="AD576" s="52">
        <v>3.0</v>
      </c>
      <c r="AF576" s="52" t="s">
        <v>33</v>
      </c>
      <c r="AG576" s="52">
        <v>1.0</v>
      </c>
    </row>
    <row r="577" ht="14.25" customHeight="1">
      <c r="A577" s="72" t="s">
        <v>271</v>
      </c>
      <c r="B577" s="73">
        <v>2.0</v>
      </c>
      <c r="C577" s="69">
        <v>1.0</v>
      </c>
      <c r="D577" s="170" t="s">
        <v>153</v>
      </c>
      <c r="E577" s="28"/>
      <c r="F577" s="75">
        <v>3.0</v>
      </c>
      <c r="H577" s="72" t="s">
        <v>225</v>
      </c>
      <c r="I577" s="73">
        <v>2.0</v>
      </c>
      <c r="J577" s="69"/>
      <c r="K577" s="170" t="s">
        <v>4</v>
      </c>
      <c r="L577" s="28"/>
      <c r="M577" s="75">
        <v>1.0</v>
      </c>
      <c r="O577" s="72" t="s">
        <v>17</v>
      </c>
      <c r="P577" s="73"/>
      <c r="Q577" s="69">
        <v>1.0</v>
      </c>
      <c r="R577" s="170" t="s">
        <v>11</v>
      </c>
      <c r="S577" s="28"/>
      <c r="T577" s="75">
        <v>1.0</v>
      </c>
      <c r="AC577" s="52" t="s">
        <v>49</v>
      </c>
      <c r="AD577" s="52">
        <v>3.0</v>
      </c>
      <c r="AF577" s="52" t="s">
        <v>232</v>
      </c>
      <c r="AG577" s="52">
        <v>1.0</v>
      </c>
    </row>
    <row r="578" ht="14.25" customHeight="1">
      <c r="A578" s="72" t="s">
        <v>11</v>
      </c>
      <c r="B578" s="73">
        <v>1.0</v>
      </c>
      <c r="C578" s="69">
        <v>1.0</v>
      </c>
      <c r="D578" s="170" t="s">
        <v>17</v>
      </c>
      <c r="E578" s="28"/>
      <c r="F578" s="75">
        <v>1.0</v>
      </c>
      <c r="H578" s="72" t="s">
        <v>7</v>
      </c>
      <c r="I578" s="73"/>
      <c r="J578" s="69">
        <v>1.0</v>
      </c>
      <c r="K578" s="170" t="s">
        <v>18</v>
      </c>
      <c r="L578" s="28"/>
      <c r="M578" s="75"/>
      <c r="O578" s="72" t="s">
        <v>5</v>
      </c>
      <c r="P578" s="73">
        <v>1.0</v>
      </c>
      <c r="Q578" s="69">
        <v>1.0</v>
      </c>
      <c r="R578" s="170" t="s">
        <v>18</v>
      </c>
      <c r="S578" s="28">
        <v>1.0</v>
      </c>
      <c r="T578" s="75"/>
      <c r="AC578" s="52" t="s">
        <v>41</v>
      </c>
      <c r="AD578" s="52">
        <v>2.0</v>
      </c>
      <c r="AF578" s="52" t="s">
        <v>29</v>
      </c>
      <c r="AG578" s="52">
        <v>1.0</v>
      </c>
    </row>
    <row r="579" ht="14.25" customHeight="1">
      <c r="A579" s="77" t="s">
        <v>225</v>
      </c>
      <c r="B579" s="78">
        <v>1.0</v>
      </c>
      <c r="C579" s="82"/>
      <c r="D579" s="166" t="s">
        <v>5</v>
      </c>
      <c r="E579" s="34">
        <v>5.0</v>
      </c>
      <c r="F579" s="81"/>
      <c r="H579" s="77" t="s">
        <v>11</v>
      </c>
      <c r="I579" s="78">
        <v>1.0</v>
      </c>
      <c r="J579" s="82"/>
      <c r="K579" s="166" t="s">
        <v>153</v>
      </c>
      <c r="L579" s="34">
        <v>1.0</v>
      </c>
      <c r="M579" s="81"/>
      <c r="O579" s="77" t="s">
        <v>166</v>
      </c>
      <c r="P579" s="78">
        <v>1.0</v>
      </c>
      <c r="Q579" s="82">
        <v>1.0</v>
      </c>
      <c r="R579" s="166" t="s">
        <v>153</v>
      </c>
      <c r="S579" s="34"/>
      <c r="T579" s="81"/>
      <c r="AC579" s="52" t="s">
        <v>272</v>
      </c>
      <c r="AD579" s="52">
        <v>2.0</v>
      </c>
      <c r="AF579" s="52" t="s">
        <v>273</v>
      </c>
      <c r="AG579" s="52">
        <v>1.0</v>
      </c>
    </row>
    <row r="580" ht="14.25" customHeight="1">
      <c r="K580" s="160" t="s">
        <v>274</v>
      </c>
      <c r="L580" s="161">
        <v>1.0</v>
      </c>
    </row>
    <row r="581" ht="14.25" customHeight="1"/>
    <row r="582" ht="14.25" customHeight="1">
      <c r="V582" s="90"/>
      <c r="W582" s="90"/>
      <c r="X582" s="90"/>
      <c r="Y582" s="90"/>
      <c r="Z582" s="90"/>
    </row>
    <row r="583" ht="14.25" customHeight="1">
      <c r="V583" s="92" t="s">
        <v>3</v>
      </c>
      <c r="W583" s="93"/>
      <c r="X583" s="30"/>
      <c r="Y583" s="50">
        <f>A573+D573+H573+K573+O573+R573+V573+Y573</f>
        <v>27</v>
      </c>
      <c r="Z583" s="30"/>
    </row>
    <row r="584" ht="14.25" customHeight="1"/>
    <row r="585" ht="14.25" customHeight="1"/>
    <row r="586" ht="14.25" customHeight="1"/>
    <row r="587" ht="14.25" customHeight="1">
      <c r="A587" s="22"/>
      <c r="L587" s="4" t="s">
        <v>275</v>
      </c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3"/>
    </row>
    <row r="588" ht="14.25" customHeight="1">
      <c r="A588" s="22"/>
    </row>
    <row r="589" ht="14.25" customHeight="1">
      <c r="A589" s="22"/>
      <c r="P589" s="8">
        <v>44805.0</v>
      </c>
      <c r="Q589" s="2"/>
      <c r="R589" s="2"/>
      <c r="S589" s="3"/>
    </row>
    <row r="590" ht="14.25" customHeight="1">
      <c r="A590" s="22"/>
    </row>
    <row r="591" ht="14.25" customHeight="1">
      <c r="A591" s="9">
        <v>1.0</v>
      </c>
      <c r="B591" s="10">
        <v>44810.0</v>
      </c>
      <c r="C591" s="2"/>
      <c r="D591" s="2"/>
      <c r="E591" s="2"/>
      <c r="F591" s="3"/>
      <c r="H591" s="9">
        <v>2.0</v>
      </c>
      <c r="I591" s="10">
        <v>44817.0</v>
      </c>
      <c r="J591" s="2"/>
      <c r="K591" s="2"/>
      <c r="L591" s="2"/>
      <c r="M591" s="3"/>
      <c r="O591" s="9">
        <v>3.0</v>
      </c>
      <c r="P591" s="10">
        <v>44824.0</v>
      </c>
      <c r="Q591" s="2"/>
      <c r="R591" s="2"/>
      <c r="S591" s="2"/>
      <c r="T591" s="3"/>
      <c r="V591" s="9">
        <v>4.0</v>
      </c>
      <c r="W591" s="10">
        <v>44831.0</v>
      </c>
      <c r="X591" s="2"/>
      <c r="Y591" s="2"/>
      <c r="Z591" s="2"/>
      <c r="AA591" s="3"/>
      <c r="AC591" s="51" t="s">
        <v>276</v>
      </c>
      <c r="AD591" s="2"/>
      <c r="AE591" s="2"/>
      <c r="AF591" s="2"/>
      <c r="AG591" s="3"/>
    </row>
    <row r="592" ht="14.25" customHeight="1">
      <c r="A592" s="14">
        <v>4.0</v>
      </c>
      <c r="B592" s="2"/>
      <c r="C592" s="3"/>
      <c r="D592" s="39">
        <v>7.0</v>
      </c>
      <c r="E592" s="2"/>
      <c r="F592" s="3"/>
      <c r="H592" s="14">
        <v>4.0</v>
      </c>
      <c r="I592" s="2"/>
      <c r="J592" s="3"/>
      <c r="K592" s="15">
        <v>6.0</v>
      </c>
      <c r="L592" s="2"/>
      <c r="M592" s="3"/>
      <c r="O592" s="14">
        <v>3.0</v>
      </c>
      <c r="P592" s="2"/>
      <c r="Q592" s="3"/>
      <c r="R592" s="15">
        <v>4.0</v>
      </c>
      <c r="S592" s="2"/>
      <c r="T592" s="3"/>
      <c r="V592" s="14">
        <v>5.0</v>
      </c>
      <c r="W592" s="2"/>
      <c r="X592" s="3"/>
      <c r="Y592" s="39">
        <v>5.0</v>
      </c>
      <c r="Z592" s="2"/>
      <c r="AA592" s="3"/>
    </row>
    <row r="593" ht="12.0" customHeight="1">
      <c r="A593" s="60"/>
      <c r="B593" s="61" t="s">
        <v>69</v>
      </c>
      <c r="C593" s="62" t="s">
        <v>70</v>
      </c>
      <c r="D593" s="94"/>
      <c r="E593" s="95" t="s">
        <v>69</v>
      </c>
      <c r="F593" s="96" t="s">
        <v>70</v>
      </c>
      <c r="H593" s="66"/>
      <c r="I593" s="61" t="s">
        <v>69</v>
      </c>
      <c r="J593" s="61" t="s">
        <v>70</v>
      </c>
      <c r="K593" s="63"/>
      <c r="L593" s="64" t="s">
        <v>69</v>
      </c>
      <c r="M593" s="65" t="s">
        <v>70</v>
      </c>
      <c r="O593" s="66"/>
      <c r="P593" s="61" t="s">
        <v>69</v>
      </c>
      <c r="Q593" s="62" t="s">
        <v>70</v>
      </c>
      <c r="R593" s="63"/>
      <c r="S593" s="64" t="s">
        <v>69</v>
      </c>
      <c r="T593" s="65" t="s">
        <v>70</v>
      </c>
      <c r="V593" s="66"/>
      <c r="W593" s="61" t="s">
        <v>69</v>
      </c>
      <c r="X593" s="62" t="s">
        <v>70</v>
      </c>
      <c r="Y593" s="94"/>
      <c r="Z593" s="95" t="s">
        <v>69</v>
      </c>
      <c r="AA593" s="96" t="s">
        <v>70</v>
      </c>
      <c r="AC593" s="22" t="s">
        <v>277</v>
      </c>
      <c r="AD593" s="52">
        <v>10.0</v>
      </c>
      <c r="AF593" s="52" t="s">
        <v>41</v>
      </c>
      <c r="AG593" s="52">
        <v>1.0</v>
      </c>
    </row>
    <row r="594" ht="14.25" customHeight="1">
      <c r="A594" s="67" t="s">
        <v>20</v>
      </c>
      <c r="B594" s="68"/>
      <c r="C594" s="69"/>
      <c r="D594" s="97" t="s">
        <v>10</v>
      </c>
      <c r="E594" s="98">
        <v>1.0</v>
      </c>
      <c r="F594" s="99">
        <v>1.0</v>
      </c>
      <c r="H594" s="67" t="s">
        <v>278</v>
      </c>
      <c r="I594" s="68">
        <v>2.0</v>
      </c>
      <c r="J594" s="191"/>
      <c r="K594" s="169" t="s">
        <v>10</v>
      </c>
      <c r="L594" s="21"/>
      <c r="M594" s="71">
        <v>1.0</v>
      </c>
      <c r="O594" s="67" t="s">
        <v>6</v>
      </c>
      <c r="P594" s="68"/>
      <c r="Q594" s="69"/>
      <c r="R594" s="169" t="s">
        <v>13</v>
      </c>
      <c r="S594" s="21">
        <v>1.0</v>
      </c>
      <c r="T594" s="71">
        <v>1.0</v>
      </c>
      <c r="V594" s="67" t="s">
        <v>153</v>
      </c>
      <c r="W594" s="68">
        <v>1.0</v>
      </c>
      <c r="X594" s="69"/>
      <c r="Y594" s="97" t="s">
        <v>10</v>
      </c>
      <c r="Z594" s="98">
        <v>1.0</v>
      </c>
      <c r="AA594" s="99">
        <v>1.0</v>
      </c>
      <c r="AC594" s="22" t="s">
        <v>8</v>
      </c>
      <c r="AD594" s="52">
        <v>9.0</v>
      </c>
      <c r="AF594" s="52" t="s">
        <v>203</v>
      </c>
      <c r="AG594" s="52">
        <v>1.0</v>
      </c>
    </row>
    <row r="595" ht="14.25" customHeight="1">
      <c r="A595" s="72" t="s">
        <v>175</v>
      </c>
      <c r="B595" s="73">
        <v>1.0</v>
      </c>
      <c r="C595" s="69">
        <v>2.0</v>
      </c>
      <c r="D595" s="100" t="s">
        <v>7</v>
      </c>
      <c r="E595" s="101"/>
      <c r="F595" s="102">
        <v>3.0</v>
      </c>
      <c r="H595" s="72" t="s">
        <v>166</v>
      </c>
      <c r="I595" s="73">
        <v>1.0</v>
      </c>
      <c r="J595" s="191">
        <v>1.0</v>
      </c>
      <c r="K595" s="170" t="s">
        <v>7</v>
      </c>
      <c r="L595" s="28">
        <v>2.0</v>
      </c>
      <c r="M595" s="75">
        <v>2.0</v>
      </c>
      <c r="O595" s="72" t="s">
        <v>10</v>
      </c>
      <c r="P595" s="73"/>
      <c r="Q595" s="69"/>
      <c r="R595" s="170" t="s">
        <v>57</v>
      </c>
      <c r="S595" s="28"/>
      <c r="T595" s="75"/>
      <c r="V595" s="72" t="s">
        <v>7</v>
      </c>
      <c r="W595" s="73"/>
      <c r="X595" s="69">
        <v>2.0</v>
      </c>
      <c r="Y595" s="100" t="s">
        <v>20</v>
      </c>
      <c r="Z595" s="101"/>
      <c r="AA595" s="102"/>
      <c r="AC595" s="22" t="s">
        <v>232</v>
      </c>
      <c r="AD595" s="52">
        <v>3.0</v>
      </c>
      <c r="AF595" s="52" t="s">
        <v>84</v>
      </c>
      <c r="AG595" s="52">
        <v>1.0</v>
      </c>
    </row>
    <row r="596" ht="14.25" customHeight="1">
      <c r="A596" s="72" t="s">
        <v>131</v>
      </c>
      <c r="B596" s="73"/>
      <c r="C596" s="69"/>
      <c r="D596" s="100" t="s">
        <v>153</v>
      </c>
      <c r="E596" s="101"/>
      <c r="F596" s="102">
        <v>2.0</v>
      </c>
      <c r="H596" s="72" t="s">
        <v>13</v>
      </c>
      <c r="I596" s="73"/>
      <c r="J596" s="191"/>
      <c r="K596" s="170" t="s">
        <v>20</v>
      </c>
      <c r="L596" s="28">
        <v>2.0</v>
      </c>
      <c r="M596" s="75"/>
      <c r="O596" s="72" t="s">
        <v>11</v>
      </c>
      <c r="P596" s="73"/>
      <c r="Q596" s="69"/>
      <c r="R596" s="170" t="s">
        <v>175</v>
      </c>
      <c r="S596" s="28"/>
      <c r="T596" s="75"/>
      <c r="V596" s="72" t="s">
        <v>17</v>
      </c>
      <c r="W596" s="73">
        <v>1.0</v>
      </c>
      <c r="X596" s="69"/>
      <c r="Y596" s="100" t="s">
        <v>13</v>
      </c>
      <c r="Z596" s="101">
        <v>1.0</v>
      </c>
      <c r="AA596" s="102">
        <v>1.0</v>
      </c>
      <c r="AC596" s="22" t="s">
        <v>29</v>
      </c>
      <c r="AD596" s="52">
        <v>2.0</v>
      </c>
      <c r="AF596" s="52" t="s">
        <v>251</v>
      </c>
      <c r="AG596" s="52">
        <v>1.0</v>
      </c>
    </row>
    <row r="597" ht="14.25" customHeight="1">
      <c r="A597" s="72" t="s">
        <v>278</v>
      </c>
      <c r="B597" s="73">
        <v>3.0</v>
      </c>
      <c r="C597" s="69"/>
      <c r="D597" s="100" t="s">
        <v>5</v>
      </c>
      <c r="E597" s="101">
        <v>5.0</v>
      </c>
      <c r="F597" s="102">
        <v>1.0</v>
      </c>
      <c r="H597" s="72" t="s">
        <v>4</v>
      </c>
      <c r="I597" s="73"/>
      <c r="J597" s="191"/>
      <c r="K597" s="170" t="s">
        <v>11</v>
      </c>
      <c r="L597" s="28">
        <v>1.0</v>
      </c>
      <c r="M597" s="75">
        <v>1.0</v>
      </c>
      <c r="O597" s="72" t="s">
        <v>153</v>
      </c>
      <c r="P597" s="73">
        <v>2.0</v>
      </c>
      <c r="Q597" s="69"/>
      <c r="R597" s="170" t="s">
        <v>18</v>
      </c>
      <c r="S597" s="28"/>
      <c r="T597" s="75"/>
      <c r="V597" s="72" t="s">
        <v>4</v>
      </c>
      <c r="W597" s="73">
        <v>1.0</v>
      </c>
      <c r="X597" s="69">
        <v>1.0</v>
      </c>
      <c r="Y597" s="100" t="s">
        <v>18</v>
      </c>
      <c r="Z597" s="101"/>
      <c r="AA597" s="102"/>
      <c r="AC597" s="22" t="s">
        <v>38</v>
      </c>
      <c r="AD597" s="52">
        <v>2.0</v>
      </c>
      <c r="AF597" s="52" t="s">
        <v>61</v>
      </c>
      <c r="AG597" s="52">
        <v>1.0</v>
      </c>
    </row>
    <row r="598" ht="14.25" customHeight="1">
      <c r="A598" s="77" t="s">
        <v>18</v>
      </c>
      <c r="B598" s="78"/>
      <c r="C598" s="82"/>
      <c r="D598" s="103" t="s">
        <v>57</v>
      </c>
      <c r="E598" s="104">
        <v>1.0</v>
      </c>
      <c r="F598" s="105"/>
      <c r="H598" s="77" t="s">
        <v>18</v>
      </c>
      <c r="I598" s="78"/>
      <c r="J598" s="190"/>
      <c r="K598" s="166" t="s">
        <v>5</v>
      </c>
      <c r="L598" s="34">
        <v>1.0</v>
      </c>
      <c r="M598" s="81">
        <v>1.0</v>
      </c>
      <c r="O598" s="77" t="s">
        <v>5</v>
      </c>
      <c r="P598" s="78">
        <v>1.0</v>
      </c>
      <c r="Q598" s="190">
        <v>1.0</v>
      </c>
      <c r="R598" s="166" t="s">
        <v>278</v>
      </c>
      <c r="S598" s="34">
        <v>3.0</v>
      </c>
      <c r="T598" s="81">
        <v>1.0</v>
      </c>
      <c r="V598" s="77" t="s">
        <v>5</v>
      </c>
      <c r="W598" s="78">
        <v>2.0</v>
      </c>
      <c r="X598" s="82">
        <v>1.0</v>
      </c>
      <c r="Y598" s="103" t="s">
        <v>278</v>
      </c>
      <c r="Z598" s="104">
        <v>2.0</v>
      </c>
      <c r="AA598" s="105"/>
      <c r="AC598" s="22" t="s">
        <v>82</v>
      </c>
      <c r="AD598" s="52">
        <v>2.0</v>
      </c>
      <c r="AF598" s="52" t="s">
        <v>213</v>
      </c>
      <c r="AG598" s="52">
        <v>1.0</v>
      </c>
    </row>
    <row r="599" ht="14.25" customHeight="1">
      <c r="H599" s="77" t="s">
        <v>213</v>
      </c>
      <c r="I599" s="78">
        <v>1.0</v>
      </c>
      <c r="Y599" s="103" t="s">
        <v>190</v>
      </c>
      <c r="Z599" s="104">
        <v>1.0</v>
      </c>
      <c r="AC599" s="22" t="s">
        <v>33</v>
      </c>
      <c r="AD599" s="52">
        <v>2.0</v>
      </c>
      <c r="AF599" s="52" t="s">
        <v>190</v>
      </c>
      <c r="AG599" s="52">
        <v>1.0</v>
      </c>
    </row>
    <row r="600" ht="14.25" customHeight="1">
      <c r="V600" s="90"/>
      <c r="W600" s="90"/>
      <c r="X600" s="90"/>
      <c r="Y600" s="90"/>
      <c r="Z600" s="90"/>
      <c r="AC600" s="22" t="s">
        <v>49</v>
      </c>
      <c r="AD600" s="52">
        <v>1.0</v>
      </c>
    </row>
    <row r="601" ht="14.25" customHeight="1">
      <c r="V601" s="92" t="s">
        <v>3</v>
      </c>
      <c r="W601" s="93"/>
      <c r="X601" s="30"/>
      <c r="Y601" s="50">
        <f>A592+D592+H592+K592+O592+R592+V592+Y592+AC592+AF592</f>
        <v>38</v>
      </c>
      <c r="Z601" s="30"/>
      <c r="AC601" s="22"/>
    </row>
    <row r="602" ht="14.25" customHeight="1"/>
    <row r="603" ht="14.25" customHeight="1"/>
    <row r="604" ht="14.25" customHeight="1">
      <c r="P604" s="8">
        <v>44835.0</v>
      </c>
      <c r="Q604" s="2"/>
      <c r="R604" s="2"/>
      <c r="S604" s="3"/>
    </row>
    <row r="605" ht="14.25" customHeight="1"/>
    <row r="606" ht="14.25" customHeight="1">
      <c r="A606" s="9">
        <v>5.0</v>
      </c>
      <c r="B606" s="10">
        <v>44838.0</v>
      </c>
      <c r="C606" s="2"/>
      <c r="D606" s="2"/>
      <c r="E606" s="2"/>
      <c r="F606" s="3"/>
      <c r="H606" s="9">
        <v>6.0</v>
      </c>
      <c r="I606" s="10">
        <v>44845.0</v>
      </c>
      <c r="J606" s="2"/>
      <c r="K606" s="2"/>
      <c r="L606" s="2"/>
      <c r="M606" s="3"/>
      <c r="O606" s="9">
        <v>7.0</v>
      </c>
      <c r="P606" s="10">
        <v>44852.0</v>
      </c>
      <c r="Q606" s="2"/>
      <c r="R606" s="2"/>
      <c r="S606" s="2"/>
      <c r="T606" s="3"/>
      <c r="V606" s="9">
        <v>8.0</v>
      </c>
      <c r="W606" s="10">
        <v>44859.0</v>
      </c>
      <c r="X606" s="2"/>
      <c r="Y606" s="2"/>
      <c r="Z606" s="2"/>
      <c r="AA606" s="3"/>
      <c r="AC606" s="51" t="s">
        <v>279</v>
      </c>
      <c r="AD606" s="2"/>
      <c r="AE606" s="2"/>
      <c r="AF606" s="2"/>
      <c r="AG606" s="3"/>
    </row>
    <row r="607" ht="14.25" customHeight="1">
      <c r="A607" s="14">
        <v>1.0</v>
      </c>
      <c r="B607" s="2"/>
      <c r="C607" s="3"/>
      <c r="D607" s="39">
        <v>4.0</v>
      </c>
      <c r="E607" s="2"/>
      <c r="F607" s="3"/>
      <c r="H607" s="14">
        <v>5.0</v>
      </c>
      <c r="I607" s="2"/>
      <c r="J607" s="3"/>
      <c r="K607" s="39">
        <v>6.0</v>
      </c>
      <c r="L607" s="2"/>
      <c r="M607" s="3"/>
      <c r="O607" s="14">
        <v>5.0</v>
      </c>
      <c r="P607" s="2"/>
      <c r="Q607" s="3"/>
      <c r="R607" s="39">
        <v>5.0</v>
      </c>
      <c r="S607" s="2"/>
      <c r="T607" s="3"/>
      <c r="V607" s="14">
        <v>2.0</v>
      </c>
      <c r="W607" s="2"/>
      <c r="X607" s="3"/>
      <c r="Y607" s="39">
        <v>3.0</v>
      </c>
      <c r="Z607" s="2"/>
      <c r="AA607" s="3"/>
    </row>
    <row r="608" ht="12.0" customHeight="1">
      <c r="A608" s="60"/>
      <c r="B608" s="61" t="s">
        <v>69</v>
      </c>
      <c r="C608" s="62" t="s">
        <v>70</v>
      </c>
      <c r="D608" s="94"/>
      <c r="E608" s="95" t="s">
        <v>69</v>
      </c>
      <c r="F608" s="96" t="s">
        <v>70</v>
      </c>
      <c r="H608" s="66"/>
      <c r="I608" s="61" t="s">
        <v>69</v>
      </c>
      <c r="J608" s="61" t="s">
        <v>70</v>
      </c>
      <c r="K608" s="94"/>
      <c r="L608" s="95" t="s">
        <v>69</v>
      </c>
      <c r="M608" s="96" t="s">
        <v>70</v>
      </c>
      <c r="O608" s="66"/>
      <c r="P608" s="61" t="s">
        <v>69</v>
      </c>
      <c r="Q608" s="62" t="s">
        <v>70</v>
      </c>
      <c r="R608" s="94"/>
      <c r="S608" s="95" t="s">
        <v>69</v>
      </c>
      <c r="T608" s="96" t="s">
        <v>70</v>
      </c>
      <c r="V608" s="66"/>
      <c r="W608" s="61" t="s">
        <v>69</v>
      </c>
      <c r="X608" s="62" t="s">
        <v>70</v>
      </c>
      <c r="Y608" s="94"/>
      <c r="Z608" s="95" t="s">
        <v>69</v>
      </c>
      <c r="AA608" s="96" t="s">
        <v>70</v>
      </c>
      <c r="AC608" s="22" t="s">
        <v>272</v>
      </c>
      <c r="AD608" s="52">
        <v>4.0</v>
      </c>
      <c r="AF608" s="23" t="s">
        <v>33</v>
      </c>
      <c r="AG608" s="52">
        <v>2.0</v>
      </c>
    </row>
    <row r="609" ht="14.25" customHeight="1">
      <c r="A609" s="67" t="s">
        <v>17</v>
      </c>
      <c r="B609" s="68">
        <v>1.0</v>
      </c>
      <c r="C609" s="69"/>
      <c r="D609" s="97" t="s">
        <v>18</v>
      </c>
      <c r="E609" s="98">
        <v>1.0</v>
      </c>
      <c r="F609" s="99"/>
      <c r="H609" s="67" t="s">
        <v>13</v>
      </c>
      <c r="I609" s="68">
        <v>1.0</v>
      </c>
      <c r="J609" s="191"/>
      <c r="K609" s="97" t="s">
        <v>10</v>
      </c>
      <c r="L609" s="98"/>
      <c r="M609" s="99">
        <v>1.0</v>
      </c>
      <c r="O609" s="67" t="s">
        <v>18</v>
      </c>
      <c r="P609" s="68">
        <v>1.0</v>
      </c>
      <c r="Q609" s="69">
        <v>1.0</v>
      </c>
      <c r="R609" s="97" t="s">
        <v>6</v>
      </c>
      <c r="S609" s="98"/>
      <c r="T609" s="99"/>
      <c r="V609" s="67" t="s">
        <v>18</v>
      </c>
      <c r="W609" s="68">
        <v>1.0</v>
      </c>
      <c r="X609" s="69"/>
      <c r="Y609" s="97" t="s">
        <v>20</v>
      </c>
      <c r="Z609" s="98"/>
      <c r="AA609" s="99"/>
      <c r="AC609" s="22" t="s">
        <v>29</v>
      </c>
      <c r="AD609" s="52">
        <v>4.0</v>
      </c>
      <c r="AF609" s="52" t="s">
        <v>61</v>
      </c>
      <c r="AG609" s="52">
        <v>2.0</v>
      </c>
    </row>
    <row r="610" ht="14.25" customHeight="1">
      <c r="A610" s="72" t="s">
        <v>20</v>
      </c>
      <c r="B610" s="73"/>
      <c r="C610" s="69"/>
      <c r="D610" s="100" t="s">
        <v>7</v>
      </c>
      <c r="E610" s="101">
        <v>1.0</v>
      </c>
      <c r="F610" s="102">
        <v>1.0</v>
      </c>
      <c r="H610" s="72" t="s">
        <v>57</v>
      </c>
      <c r="I610" s="73">
        <v>2.0</v>
      </c>
      <c r="J610" s="191"/>
      <c r="K610" s="100" t="s">
        <v>5</v>
      </c>
      <c r="L610" s="101"/>
      <c r="M610" s="102">
        <v>1.0</v>
      </c>
      <c r="O610" s="72" t="s">
        <v>10</v>
      </c>
      <c r="P610" s="73"/>
      <c r="Q610" s="69">
        <v>2.0</v>
      </c>
      <c r="R610" s="100" t="s">
        <v>20</v>
      </c>
      <c r="S610" s="101">
        <v>2.0</v>
      </c>
      <c r="T610" s="102">
        <v>2.0</v>
      </c>
      <c r="V610" s="72" t="s">
        <v>166</v>
      </c>
      <c r="W610" s="73"/>
      <c r="X610" s="69"/>
      <c r="Y610" s="100" t="s">
        <v>7</v>
      </c>
      <c r="Z610" s="101"/>
      <c r="AA610" s="102">
        <v>2.0</v>
      </c>
      <c r="AC610" s="22" t="s">
        <v>8</v>
      </c>
      <c r="AD610" s="52">
        <v>4.0</v>
      </c>
      <c r="AF610" s="52" t="s">
        <v>203</v>
      </c>
      <c r="AG610" s="52">
        <v>1.0</v>
      </c>
    </row>
    <row r="611" ht="14.25" customHeight="1">
      <c r="A611" s="72" t="s">
        <v>6</v>
      </c>
      <c r="B611" s="73"/>
      <c r="C611" s="69"/>
      <c r="D611" s="100" t="s">
        <v>13</v>
      </c>
      <c r="E611" s="101"/>
      <c r="F611" s="102">
        <v>1.0</v>
      </c>
      <c r="H611" s="72" t="s">
        <v>278</v>
      </c>
      <c r="I611" s="73">
        <v>1.0</v>
      </c>
      <c r="J611" s="191"/>
      <c r="K611" s="100" t="s">
        <v>17</v>
      </c>
      <c r="L611" s="101"/>
      <c r="M611" s="102"/>
      <c r="O611" s="72" t="s">
        <v>4</v>
      </c>
      <c r="P611" s="73"/>
      <c r="Q611" s="69"/>
      <c r="R611" s="100" t="s">
        <v>166</v>
      </c>
      <c r="S611" s="101">
        <v>1.0</v>
      </c>
      <c r="T611" s="102"/>
      <c r="V611" s="72" t="s">
        <v>4</v>
      </c>
      <c r="W611" s="73"/>
      <c r="X611" s="69"/>
      <c r="Y611" s="100" t="s">
        <v>13</v>
      </c>
      <c r="Z611" s="101">
        <v>1.0</v>
      </c>
      <c r="AA611" s="102"/>
      <c r="AC611" s="22" t="s">
        <v>277</v>
      </c>
      <c r="AD611" s="52">
        <v>4.0</v>
      </c>
    </row>
    <row r="612" ht="14.25" customHeight="1">
      <c r="A612" s="72" t="s">
        <v>11</v>
      </c>
      <c r="B612" s="73"/>
      <c r="C612" s="69"/>
      <c r="D612" s="100" t="s">
        <v>10</v>
      </c>
      <c r="E612" s="101"/>
      <c r="F612" s="102"/>
      <c r="H612" s="72" t="s">
        <v>263</v>
      </c>
      <c r="I612" s="73"/>
      <c r="J612" s="191">
        <v>2.0</v>
      </c>
      <c r="K612" s="100" t="s">
        <v>7</v>
      </c>
      <c r="L612" s="101">
        <v>2.0</v>
      </c>
      <c r="M612" s="102">
        <v>2.0</v>
      </c>
      <c r="O612" s="72" t="s">
        <v>7</v>
      </c>
      <c r="P612" s="73">
        <v>1.0</v>
      </c>
      <c r="Q612" s="69">
        <v>1.0</v>
      </c>
      <c r="R612" s="100" t="s">
        <v>13</v>
      </c>
      <c r="S612" s="101"/>
      <c r="T612" s="102">
        <v>2.0</v>
      </c>
      <c r="V612" s="72" t="s">
        <v>278</v>
      </c>
      <c r="W612" s="73">
        <v>1.0</v>
      </c>
      <c r="X612" s="69"/>
      <c r="Y612" s="100" t="s">
        <v>5</v>
      </c>
      <c r="Z612" s="101">
        <v>1.0</v>
      </c>
      <c r="AA612" s="102">
        <v>1.0</v>
      </c>
      <c r="AC612" s="22" t="s">
        <v>38</v>
      </c>
      <c r="AD612" s="52">
        <v>3.0</v>
      </c>
      <c r="AF612" s="52" t="s">
        <v>274</v>
      </c>
      <c r="AG612" s="52">
        <v>1.0</v>
      </c>
    </row>
    <row r="613" ht="14.25" customHeight="1">
      <c r="A613" s="77" t="s">
        <v>9</v>
      </c>
      <c r="B613" s="78"/>
      <c r="C613" s="82"/>
      <c r="D613" s="103" t="s">
        <v>5</v>
      </c>
      <c r="E613" s="104"/>
      <c r="F613" s="105"/>
      <c r="H613" s="77" t="s">
        <v>20</v>
      </c>
      <c r="I613" s="78">
        <v>1.0</v>
      </c>
      <c r="J613" s="190"/>
      <c r="K613" s="103" t="s">
        <v>271</v>
      </c>
      <c r="L613" s="104">
        <v>4.0</v>
      </c>
      <c r="M613" s="105"/>
      <c r="O613" s="77" t="s">
        <v>5</v>
      </c>
      <c r="P613" s="78">
        <v>3.0</v>
      </c>
      <c r="Q613" s="190">
        <v>1.0</v>
      </c>
      <c r="R613" s="103" t="s">
        <v>278</v>
      </c>
      <c r="S613" s="104">
        <v>2.0</v>
      </c>
      <c r="T613" s="105">
        <v>1.0</v>
      </c>
      <c r="V613" s="77" t="s">
        <v>10</v>
      </c>
      <c r="W613" s="78"/>
      <c r="X613" s="82">
        <v>1.0</v>
      </c>
      <c r="Y613" s="103" t="s">
        <v>17</v>
      </c>
      <c r="Z613" s="104">
        <v>1.0</v>
      </c>
      <c r="AA613" s="105"/>
      <c r="AC613" s="22" t="s">
        <v>91</v>
      </c>
      <c r="AD613" s="52">
        <v>3.0</v>
      </c>
      <c r="AF613" s="52" t="s">
        <v>280</v>
      </c>
      <c r="AG613" s="52">
        <v>1.0</v>
      </c>
    </row>
    <row r="614" ht="14.25" customHeight="1">
      <c r="D614" s="103" t="s">
        <v>280</v>
      </c>
      <c r="E614" s="104">
        <v>1.0</v>
      </c>
      <c r="Y614" s="59"/>
      <c r="Z614" s="59"/>
      <c r="AC614" s="22" t="s">
        <v>84</v>
      </c>
      <c r="AD614" s="52">
        <v>2.0</v>
      </c>
    </row>
    <row r="615" ht="14.25" customHeight="1">
      <c r="D615" s="103" t="s">
        <v>274</v>
      </c>
      <c r="E615" s="104">
        <v>1.0</v>
      </c>
      <c r="V615" s="90"/>
      <c r="W615" s="90"/>
      <c r="X615" s="90"/>
      <c r="Y615" s="90"/>
      <c r="Z615" s="90"/>
      <c r="AC615" s="22"/>
    </row>
    <row r="616" ht="14.25" customHeight="1">
      <c r="V616" s="92" t="s">
        <v>3</v>
      </c>
      <c r="W616" s="93"/>
      <c r="X616" s="30"/>
      <c r="Y616" s="50">
        <f>A607+D607+H607+K607+O607+R607+V607+Y607</f>
        <v>31</v>
      </c>
      <c r="Z616" s="30"/>
      <c r="AC616" s="22"/>
    </row>
    <row r="617" ht="14.25" customHeight="1"/>
    <row r="618" ht="14.25" customHeight="1"/>
    <row r="619" ht="14.25" customHeight="1">
      <c r="P619" s="8">
        <v>44866.0</v>
      </c>
      <c r="Q619" s="2"/>
      <c r="R619" s="2"/>
      <c r="S619" s="3"/>
    </row>
    <row r="620" ht="14.25" customHeight="1"/>
    <row r="621" ht="14.25" customHeight="1">
      <c r="A621" s="9">
        <v>9.0</v>
      </c>
      <c r="B621" s="10">
        <v>44866.0</v>
      </c>
      <c r="C621" s="2"/>
      <c r="D621" s="2"/>
      <c r="E621" s="2"/>
      <c r="F621" s="3"/>
      <c r="H621" s="9">
        <v>10.0</v>
      </c>
      <c r="I621" s="10">
        <v>44873.0</v>
      </c>
      <c r="J621" s="2"/>
      <c r="K621" s="2"/>
      <c r="L621" s="2"/>
      <c r="M621" s="3"/>
      <c r="O621" s="9">
        <v>11.0</v>
      </c>
      <c r="P621" s="10">
        <v>44880.0</v>
      </c>
      <c r="Q621" s="2"/>
      <c r="R621" s="2"/>
      <c r="S621" s="2"/>
      <c r="T621" s="3"/>
      <c r="V621" s="9">
        <v>12.0</v>
      </c>
      <c r="W621" s="10">
        <v>44887.0</v>
      </c>
      <c r="X621" s="2"/>
      <c r="Y621" s="2"/>
      <c r="Z621" s="2"/>
      <c r="AA621" s="3"/>
      <c r="AC621" s="9">
        <v>13.0</v>
      </c>
      <c r="AD621" s="10">
        <v>44894.0</v>
      </c>
      <c r="AE621" s="2"/>
      <c r="AF621" s="2"/>
      <c r="AG621" s="2"/>
      <c r="AH621" s="3"/>
    </row>
    <row r="622" ht="14.25" customHeight="1">
      <c r="A622" s="14">
        <v>6.0</v>
      </c>
      <c r="B622" s="2"/>
      <c r="C622" s="3"/>
      <c r="D622" s="39">
        <v>3.0</v>
      </c>
      <c r="E622" s="2"/>
      <c r="F622" s="3"/>
      <c r="H622" s="14">
        <v>5.0</v>
      </c>
      <c r="I622" s="2"/>
      <c r="J622" s="3"/>
      <c r="K622" s="39">
        <v>5.0</v>
      </c>
      <c r="L622" s="2"/>
      <c r="M622" s="3"/>
      <c r="O622" s="14">
        <v>3.0</v>
      </c>
      <c r="P622" s="2"/>
      <c r="Q622" s="3"/>
      <c r="R622" s="39">
        <v>3.0</v>
      </c>
      <c r="S622" s="2"/>
      <c r="T622" s="3"/>
      <c r="V622" s="14">
        <v>3.0</v>
      </c>
      <c r="W622" s="2"/>
      <c r="X622" s="3"/>
      <c r="Y622" s="39">
        <v>3.0</v>
      </c>
      <c r="Z622" s="2"/>
      <c r="AA622" s="3"/>
      <c r="AC622" s="14">
        <v>5.0</v>
      </c>
      <c r="AD622" s="2"/>
      <c r="AE622" s="3"/>
      <c r="AF622" s="39">
        <v>3.0</v>
      </c>
      <c r="AG622" s="2"/>
      <c r="AH622" s="3"/>
    </row>
    <row r="623" ht="12.0" customHeight="1">
      <c r="A623" s="66"/>
      <c r="B623" s="61" t="s">
        <v>69</v>
      </c>
      <c r="C623" s="62" t="s">
        <v>70</v>
      </c>
      <c r="D623" s="94"/>
      <c r="E623" s="95" t="s">
        <v>69</v>
      </c>
      <c r="F623" s="96" t="s">
        <v>70</v>
      </c>
      <c r="H623" s="66"/>
      <c r="I623" s="61" t="s">
        <v>69</v>
      </c>
      <c r="J623" s="62" t="s">
        <v>70</v>
      </c>
      <c r="K623" s="94"/>
      <c r="L623" s="95" t="s">
        <v>69</v>
      </c>
      <c r="M623" s="96" t="s">
        <v>70</v>
      </c>
      <c r="O623" s="66"/>
      <c r="P623" s="61" t="s">
        <v>69</v>
      </c>
      <c r="Q623" s="62" t="s">
        <v>70</v>
      </c>
      <c r="R623" s="94"/>
      <c r="S623" s="95" t="s">
        <v>69</v>
      </c>
      <c r="T623" s="96" t="s">
        <v>70</v>
      </c>
      <c r="V623" s="66"/>
      <c r="W623" s="61" t="s">
        <v>69</v>
      </c>
      <c r="X623" s="62" t="s">
        <v>70</v>
      </c>
      <c r="Y623" s="94"/>
      <c r="Z623" s="95" t="s">
        <v>69</v>
      </c>
      <c r="AA623" s="96" t="s">
        <v>70</v>
      </c>
      <c r="AC623" s="66"/>
      <c r="AD623" s="61" t="s">
        <v>69</v>
      </c>
      <c r="AE623" s="62" t="s">
        <v>70</v>
      </c>
      <c r="AF623" s="94"/>
      <c r="AG623" s="95" t="s">
        <v>69</v>
      </c>
      <c r="AH623" s="96" t="s">
        <v>70</v>
      </c>
    </row>
    <row r="624" ht="14.25" customHeight="1">
      <c r="A624" s="67" t="s">
        <v>10</v>
      </c>
      <c r="B624" s="68"/>
      <c r="C624" s="69"/>
      <c r="D624" s="97" t="s">
        <v>18</v>
      </c>
      <c r="E624" s="98"/>
      <c r="F624" s="99"/>
      <c r="H624" s="67" t="s">
        <v>9</v>
      </c>
      <c r="I624" s="68">
        <v>1.0</v>
      </c>
      <c r="J624" s="69"/>
      <c r="K624" s="97" t="s">
        <v>18</v>
      </c>
      <c r="L624" s="98"/>
      <c r="M624" s="99"/>
      <c r="O624" s="67" t="s">
        <v>7</v>
      </c>
      <c r="P624" s="68"/>
      <c r="Q624" s="69">
        <v>1.0</v>
      </c>
      <c r="R624" s="97" t="s">
        <v>278</v>
      </c>
      <c r="S624" s="98">
        <v>1.0</v>
      </c>
      <c r="T624" s="99">
        <v>1.0</v>
      </c>
      <c r="V624" s="67" t="s">
        <v>271</v>
      </c>
      <c r="W624" s="68">
        <v>1.0</v>
      </c>
      <c r="X624" s="69"/>
      <c r="Y624" s="97" t="s">
        <v>5</v>
      </c>
      <c r="Z624" s="98">
        <v>1.0</v>
      </c>
      <c r="AA624" s="99">
        <v>1.0</v>
      </c>
      <c r="AC624" s="67" t="s">
        <v>271</v>
      </c>
      <c r="AD624" s="68"/>
      <c r="AE624" s="69">
        <v>1.0</v>
      </c>
      <c r="AF624" s="97" t="s">
        <v>13</v>
      </c>
      <c r="AG624" s="98"/>
      <c r="AH624" s="99"/>
    </row>
    <row r="625" ht="14.25" customHeight="1">
      <c r="A625" s="72" t="s">
        <v>5</v>
      </c>
      <c r="B625" s="73">
        <v>2.0</v>
      </c>
      <c r="C625" s="69">
        <v>1.0</v>
      </c>
      <c r="D625" s="100" t="s">
        <v>13</v>
      </c>
      <c r="E625" s="101"/>
      <c r="F625" s="102">
        <v>1.0</v>
      </c>
      <c r="H625" s="72" t="s">
        <v>278</v>
      </c>
      <c r="I625" s="73"/>
      <c r="J625" s="69"/>
      <c r="K625" s="100" t="s">
        <v>166</v>
      </c>
      <c r="L625" s="101">
        <v>2.0</v>
      </c>
      <c r="M625" s="102">
        <v>1.0</v>
      </c>
      <c r="O625" s="72" t="s">
        <v>10</v>
      </c>
      <c r="P625" s="73">
        <v>2.0</v>
      </c>
      <c r="Q625" s="69"/>
      <c r="R625" s="100" t="s">
        <v>9</v>
      </c>
      <c r="S625" s="101"/>
      <c r="T625" s="102"/>
      <c r="V625" s="72" t="s">
        <v>263</v>
      </c>
      <c r="W625" s="73">
        <v>1.0</v>
      </c>
      <c r="X625" s="69"/>
      <c r="Y625" s="100" t="s">
        <v>13</v>
      </c>
      <c r="Z625" s="101"/>
      <c r="AA625" s="102">
        <v>1.0</v>
      </c>
      <c r="AC625" s="72" t="s">
        <v>6</v>
      </c>
      <c r="AD625" s="73">
        <v>1.0</v>
      </c>
      <c r="AE625" s="69"/>
      <c r="AF625" s="100" t="s">
        <v>5</v>
      </c>
      <c r="AG625" s="101"/>
      <c r="AH625" s="102">
        <v>2.0</v>
      </c>
    </row>
    <row r="626" ht="14.25" customHeight="1">
      <c r="A626" s="72" t="s">
        <v>7</v>
      </c>
      <c r="B626" s="73">
        <v>1.0</v>
      </c>
      <c r="C626" s="69">
        <v>1.0</v>
      </c>
      <c r="D626" s="100" t="s">
        <v>9</v>
      </c>
      <c r="E626" s="101">
        <v>1.0</v>
      </c>
      <c r="F626" s="102"/>
      <c r="H626" s="72" t="s">
        <v>4</v>
      </c>
      <c r="I626" s="73"/>
      <c r="J626" s="69">
        <v>1.0</v>
      </c>
      <c r="K626" s="100" t="s">
        <v>13</v>
      </c>
      <c r="L626" s="101"/>
      <c r="M626" s="102">
        <v>1.0</v>
      </c>
      <c r="O626" s="72" t="s">
        <v>6</v>
      </c>
      <c r="P626" s="73"/>
      <c r="Q626" s="69">
        <v>1.0</v>
      </c>
      <c r="R626" s="100" t="s">
        <v>11</v>
      </c>
      <c r="S626" s="101">
        <v>1.0</v>
      </c>
      <c r="T626" s="102"/>
      <c r="V626" s="72" t="s">
        <v>11</v>
      </c>
      <c r="W626" s="73"/>
      <c r="X626" s="69"/>
      <c r="Y626" s="100" t="s">
        <v>10</v>
      </c>
      <c r="Z626" s="101"/>
      <c r="AA626" s="102"/>
      <c r="AC626" s="72" t="s">
        <v>11</v>
      </c>
      <c r="AD626" s="73">
        <v>2.0</v>
      </c>
      <c r="AE626" s="69"/>
      <c r="AF626" s="100" t="s">
        <v>18</v>
      </c>
      <c r="AG626" s="101"/>
      <c r="AH626" s="102"/>
    </row>
    <row r="627" ht="14.25" customHeight="1">
      <c r="A627" s="72" t="s">
        <v>6</v>
      </c>
      <c r="B627" s="73">
        <v>1.0</v>
      </c>
      <c r="C627" s="69">
        <v>1.0</v>
      </c>
      <c r="D627" s="100" t="s">
        <v>57</v>
      </c>
      <c r="E627" s="101">
        <v>1.0</v>
      </c>
      <c r="F627" s="102"/>
      <c r="H627" s="72" t="s">
        <v>7</v>
      </c>
      <c r="I627" s="73">
        <v>1.0</v>
      </c>
      <c r="J627" s="69">
        <v>2.0</v>
      </c>
      <c r="K627" s="100" t="s">
        <v>11</v>
      </c>
      <c r="L627" s="101">
        <v>2.0</v>
      </c>
      <c r="M627" s="102">
        <v>1.0</v>
      </c>
      <c r="O627" s="72" t="s">
        <v>13</v>
      </c>
      <c r="P627" s="73"/>
      <c r="Q627" s="69"/>
      <c r="R627" s="100" t="s">
        <v>175</v>
      </c>
      <c r="S627" s="101">
        <v>1.0</v>
      </c>
      <c r="T627" s="102"/>
      <c r="V627" s="72" t="s">
        <v>278</v>
      </c>
      <c r="W627" s="73">
        <v>1.0</v>
      </c>
      <c r="X627" s="69"/>
      <c r="Y627" s="100" t="s">
        <v>7</v>
      </c>
      <c r="Z627" s="101">
        <v>1.0</v>
      </c>
      <c r="AA627" s="102"/>
      <c r="AC627" s="72" t="s">
        <v>263</v>
      </c>
      <c r="AD627" s="73"/>
      <c r="AE627" s="69"/>
      <c r="AF627" s="100" t="s">
        <v>121</v>
      </c>
      <c r="AG627" s="101">
        <v>2.0</v>
      </c>
      <c r="AH627" s="102"/>
    </row>
    <row r="628" ht="14.25" customHeight="1">
      <c r="A628" s="77" t="s">
        <v>54</v>
      </c>
      <c r="B628" s="78">
        <v>2.0</v>
      </c>
      <c r="C628" s="82">
        <v>2.0</v>
      </c>
      <c r="D628" s="103" t="s">
        <v>166</v>
      </c>
      <c r="E628" s="104">
        <v>1.0</v>
      </c>
      <c r="F628" s="105">
        <v>1.0</v>
      </c>
      <c r="H628" s="77" t="s">
        <v>10</v>
      </c>
      <c r="I628" s="78">
        <v>3.0</v>
      </c>
      <c r="J628" s="82"/>
      <c r="K628" s="103" t="s">
        <v>5</v>
      </c>
      <c r="L628" s="104">
        <v>1.0</v>
      </c>
      <c r="M628" s="105">
        <v>2.0</v>
      </c>
      <c r="O628" s="77" t="s">
        <v>5</v>
      </c>
      <c r="P628" s="78">
        <v>1.0</v>
      </c>
      <c r="Q628" s="82">
        <v>1.0</v>
      </c>
      <c r="R628" s="103" t="s">
        <v>166</v>
      </c>
      <c r="S628" s="104"/>
      <c r="T628" s="105">
        <v>2.0</v>
      </c>
      <c r="V628" s="77" t="s">
        <v>17</v>
      </c>
      <c r="W628" s="78"/>
      <c r="X628" s="82">
        <v>1.0</v>
      </c>
      <c r="Y628" s="103" t="s">
        <v>4</v>
      </c>
      <c r="Z628" s="104">
        <v>1.0</v>
      </c>
      <c r="AA628" s="105"/>
      <c r="AC628" s="77" t="s">
        <v>278</v>
      </c>
      <c r="AD628" s="78">
        <v>2.0</v>
      </c>
      <c r="AE628" s="82">
        <v>2.0</v>
      </c>
      <c r="AF628" s="103" t="s">
        <v>17</v>
      </c>
      <c r="AG628" s="104"/>
      <c r="AH628" s="105"/>
    </row>
    <row r="629" ht="14.25" customHeight="1">
      <c r="AF629" s="103" t="s">
        <v>281</v>
      </c>
      <c r="AG629" s="104">
        <v>1.0</v>
      </c>
    </row>
    <row r="630" ht="14.25" customHeight="1">
      <c r="V630" s="90"/>
      <c r="W630" s="90"/>
      <c r="X630" s="90"/>
      <c r="Y630" s="90"/>
      <c r="Z630" s="90"/>
    </row>
    <row r="631" ht="14.25" customHeight="1">
      <c r="A631" s="51" t="s">
        <v>282</v>
      </c>
      <c r="B631" s="2"/>
      <c r="C631" s="2"/>
      <c r="D631" s="2"/>
      <c r="E631" s="3"/>
      <c r="O631" s="135"/>
      <c r="V631" s="55" t="s">
        <v>3</v>
      </c>
      <c r="W631" s="2"/>
      <c r="X631" s="3"/>
      <c r="Y631" s="56">
        <f>A622+D622+H622+K622+O622+R622+V622+Y622+AC622+AF622</f>
        <v>39</v>
      </c>
      <c r="Z631" s="3"/>
    </row>
    <row r="632" ht="14.25" customHeight="1">
      <c r="O632" s="135"/>
      <c r="Y632" s="183"/>
      <c r="Z632" s="183"/>
    </row>
    <row r="633" ht="14.25" customHeight="1">
      <c r="A633" s="52" t="s">
        <v>82</v>
      </c>
      <c r="B633" s="52">
        <v>5.0</v>
      </c>
      <c r="D633" s="52" t="s">
        <v>134</v>
      </c>
      <c r="E633" s="52">
        <v>2.0</v>
      </c>
      <c r="O633" s="135"/>
    </row>
    <row r="634" ht="14.25" customHeight="1">
      <c r="A634" s="52" t="s">
        <v>8</v>
      </c>
      <c r="B634" s="52">
        <v>5.0</v>
      </c>
      <c r="D634" s="52" t="s">
        <v>257</v>
      </c>
      <c r="E634" s="52">
        <v>2.0</v>
      </c>
      <c r="O634" s="135"/>
    </row>
    <row r="635" ht="14.25" customHeight="1">
      <c r="A635" s="52" t="s">
        <v>41</v>
      </c>
      <c r="B635" s="52">
        <v>5.0</v>
      </c>
      <c r="D635" s="52" t="s">
        <v>84</v>
      </c>
      <c r="E635" s="52">
        <v>1.0</v>
      </c>
      <c r="O635" s="135"/>
    </row>
    <row r="636" ht="14.25" customHeight="1">
      <c r="A636" s="52" t="s">
        <v>203</v>
      </c>
      <c r="B636" s="52">
        <v>3.0</v>
      </c>
      <c r="D636" s="52" t="s">
        <v>49</v>
      </c>
      <c r="E636" s="52">
        <v>1.0</v>
      </c>
      <c r="O636" s="135"/>
    </row>
    <row r="637" ht="14.25" customHeight="1">
      <c r="A637" s="52" t="s">
        <v>29</v>
      </c>
      <c r="B637" s="52">
        <v>3.0</v>
      </c>
      <c r="D637" s="52" t="s">
        <v>272</v>
      </c>
      <c r="E637" s="52">
        <v>1.0</v>
      </c>
      <c r="O637" s="135"/>
    </row>
    <row r="638" ht="14.25" customHeight="1">
      <c r="A638" s="52" t="s">
        <v>277</v>
      </c>
      <c r="B638" s="52">
        <v>4.0</v>
      </c>
      <c r="D638" s="52" t="s">
        <v>251</v>
      </c>
      <c r="E638" s="52">
        <v>1.0</v>
      </c>
      <c r="O638" s="135"/>
    </row>
    <row r="639" ht="14.25" customHeight="1">
      <c r="A639" s="52" t="s">
        <v>79</v>
      </c>
      <c r="B639" s="52">
        <v>2.0</v>
      </c>
      <c r="D639" s="52" t="s">
        <v>267</v>
      </c>
      <c r="E639" s="52">
        <v>1.0</v>
      </c>
      <c r="O639" s="135"/>
    </row>
    <row r="640" ht="14.25" customHeight="1">
      <c r="A640" s="52" t="s">
        <v>146</v>
      </c>
      <c r="B640" s="52">
        <v>2.0</v>
      </c>
      <c r="D640" s="52" t="s">
        <v>283</v>
      </c>
      <c r="E640" s="52">
        <v>1.0</v>
      </c>
      <c r="O640" s="135"/>
    </row>
    <row r="641" ht="14.25" customHeight="1">
      <c r="P641" s="8">
        <v>44896.0</v>
      </c>
      <c r="Q641" s="2"/>
      <c r="R641" s="2"/>
      <c r="S641" s="3"/>
    </row>
    <row r="642" ht="14.25" customHeight="1"/>
    <row r="643" ht="14.25" customHeight="1">
      <c r="A643" s="9">
        <v>14.0</v>
      </c>
      <c r="B643" s="10">
        <v>44901.0</v>
      </c>
      <c r="C643" s="2"/>
      <c r="D643" s="2"/>
      <c r="E643" s="2"/>
      <c r="F643" s="3"/>
      <c r="H643" s="9">
        <v>15.0</v>
      </c>
      <c r="I643" s="10">
        <v>44908.0</v>
      </c>
      <c r="J643" s="2"/>
      <c r="K643" s="2"/>
      <c r="L643" s="2"/>
      <c r="M643" s="3"/>
      <c r="O643" s="9">
        <v>16.0</v>
      </c>
      <c r="P643" s="10">
        <v>44915.0</v>
      </c>
      <c r="Q643" s="2"/>
      <c r="R643" s="2"/>
      <c r="S643" s="2"/>
      <c r="T643" s="3"/>
      <c r="V643" s="9">
        <v>17.0</v>
      </c>
      <c r="W643" s="10">
        <v>44922.0</v>
      </c>
      <c r="X643" s="2"/>
      <c r="Y643" s="2"/>
      <c r="Z643" s="2"/>
      <c r="AA643" s="3"/>
      <c r="AC643" s="51" t="s">
        <v>284</v>
      </c>
      <c r="AD643" s="2"/>
      <c r="AE643" s="2"/>
      <c r="AF643" s="2"/>
      <c r="AG643" s="3"/>
    </row>
    <row r="644" ht="14.25" customHeight="1">
      <c r="A644" s="14">
        <v>10.0</v>
      </c>
      <c r="B644" s="2"/>
      <c r="C644" s="3"/>
      <c r="D644" s="39">
        <v>6.0</v>
      </c>
      <c r="E644" s="2"/>
      <c r="F644" s="3"/>
      <c r="H644" s="14">
        <v>1.0</v>
      </c>
      <c r="I644" s="2"/>
      <c r="J644" s="3"/>
      <c r="K644" s="39">
        <v>1.0</v>
      </c>
      <c r="L644" s="2"/>
      <c r="M644" s="3"/>
      <c r="O644" s="14">
        <v>6.0</v>
      </c>
      <c r="P644" s="2"/>
      <c r="Q644" s="3"/>
      <c r="R644" s="39">
        <v>4.0</v>
      </c>
      <c r="S644" s="2"/>
      <c r="T644" s="3"/>
      <c r="V644" s="14">
        <v>2.0</v>
      </c>
      <c r="W644" s="2"/>
      <c r="X644" s="3"/>
      <c r="Y644" s="39">
        <v>5.0</v>
      </c>
      <c r="Z644" s="2"/>
      <c r="AA644" s="3"/>
    </row>
    <row r="645" ht="12.0" customHeight="1">
      <c r="A645" s="60"/>
      <c r="B645" s="61" t="s">
        <v>69</v>
      </c>
      <c r="C645" s="62" t="s">
        <v>70</v>
      </c>
      <c r="D645" s="94"/>
      <c r="E645" s="95" t="s">
        <v>69</v>
      </c>
      <c r="F645" s="96" t="s">
        <v>70</v>
      </c>
      <c r="H645" s="66"/>
      <c r="I645" s="61" t="s">
        <v>69</v>
      </c>
      <c r="J645" s="61" t="s">
        <v>70</v>
      </c>
      <c r="K645" s="94"/>
      <c r="L645" s="95" t="s">
        <v>69</v>
      </c>
      <c r="M645" s="96" t="s">
        <v>70</v>
      </c>
      <c r="O645" s="66"/>
      <c r="P645" s="61" t="s">
        <v>69</v>
      </c>
      <c r="Q645" s="62" t="s">
        <v>70</v>
      </c>
      <c r="R645" s="94"/>
      <c r="S645" s="95" t="s">
        <v>69</v>
      </c>
      <c r="T645" s="96" t="s">
        <v>70</v>
      </c>
      <c r="V645" s="66"/>
      <c r="W645" s="61" t="s">
        <v>69</v>
      </c>
      <c r="X645" s="62" t="s">
        <v>70</v>
      </c>
      <c r="Y645" s="94"/>
      <c r="Z645" s="95" t="s">
        <v>69</v>
      </c>
      <c r="AA645" s="96" t="s">
        <v>70</v>
      </c>
      <c r="AC645" s="22" t="s">
        <v>49</v>
      </c>
      <c r="AD645" s="52">
        <v>5.0</v>
      </c>
      <c r="AF645" s="23" t="s">
        <v>277</v>
      </c>
      <c r="AG645" s="52">
        <v>2.0</v>
      </c>
    </row>
    <row r="646" ht="14.25" customHeight="1">
      <c r="A646" s="67" t="s">
        <v>271</v>
      </c>
      <c r="B646" s="68">
        <v>3.0</v>
      </c>
      <c r="C646" s="69">
        <v>3.0</v>
      </c>
      <c r="D646" s="97" t="s">
        <v>54</v>
      </c>
      <c r="E646" s="98">
        <v>1.0</v>
      </c>
      <c r="F646" s="99"/>
      <c r="H646" s="67" t="s">
        <v>7</v>
      </c>
      <c r="I646" s="68"/>
      <c r="J646" s="191"/>
      <c r="K646" s="97" t="s">
        <v>10</v>
      </c>
      <c r="L646" s="98"/>
      <c r="M646" s="99"/>
      <c r="O646" s="67" t="s">
        <v>153</v>
      </c>
      <c r="P646" s="68">
        <v>2.0</v>
      </c>
      <c r="Q646" s="69"/>
      <c r="R646" s="97" t="s">
        <v>11</v>
      </c>
      <c r="S646" s="98">
        <v>2.0</v>
      </c>
      <c r="T646" s="99">
        <v>1.0</v>
      </c>
      <c r="V646" s="67" t="s">
        <v>10</v>
      </c>
      <c r="W646" s="68"/>
      <c r="X646" s="69">
        <v>2.0</v>
      </c>
      <c r="Y646" s="97" t="s">
        <v>153</v>
      </c>
      <c r="Z646" s="98"/>
      <c r="AA646" s="99"/>
      <c r="AC646" s="22" t="s">
        <v>267</v>
      </c>
      <c r="AD646" s="52">
        <v>4.0</v>
      </c>
      <c r="AF646" s="23" t="s">
        <v>79</v>
      </c>
      <c r="AG646" s="52">
        <v>1.0</v>
      </c>
    </row>
    <row r="647" ht="14.25" customHeight="1">
      <c r="A647" s="72" t="s">
        <v>9</v>
      </c>
      <c r="B647" s="73">
        <v>2.0</v>
      </c>
      <c r="C647" s="69">
        <v>1.0</v>
      </c>
      <c r="D647" s="100" t="s">
        <v>7</v>
      </c>
      <c r="E647" s="101">
        <v>2.0</v>
      </c>
      <c r="F647" s="102">
        <v>1.0</v>
      </c>
      <c r="H647" s="72" t="s">
        <v>4</v>
      </c>
      <c r="I647" s="73"/>
      <c r="J647" s="191"/>
      <c r="K647" s="100" t="s">
        <v>20</v>
      </c>
      <c r="L647" s="101">
        <v>1.0</v>
      </c>
      <c r="M647" s="102"/>
      <c r="O647" s="72" t="s">
        <v>7</v>
      </c>
      <c r="P647" s="73">
        <v>1.0</v>
      </c>
      <c r="Q647" s="69"/>
      <c r="R647" s="100" t="s">
        <v>39</v>
      </c>
      <c r="S647" s="101">
        <v>1.0</v>
      </c>
      <c r="T647" s="102"/>
      <c r="V647" s="72" t="s">
        <v>13</v>
      </c>
      <c r="W647" s="73">
        <v>1.0</v>
      </c>
      <c r="X647" s="69"/>
      <c r="Y647" s="100" t="s">
        <v>7</v>
      </c>
      <c r="Z647" s="101"/>
      <c r="AA647" s="102"/>
      <c r="AC647" s="22" t="s">
        <v>272</v>
      </c>
      <c r="AD647" s="52">
        <v>3.0</v>
      </c>
      <c r="AF647" s="52" t="s">
        <v>257</v>
      </c>
      <c r="AG647" s="52">
        <v>1.0</v>
      </c>
    </row>
    <row r="648" ht="14.25" customHeight="1">
      <c r="A648" s="72" t="s">
        <v>4</v>
      </c>
      <c r="B648" s="73">
        <v>4.0</v>
      </c>
      <c r="C648" s="69">
        <v>1.0</v>
      </c>
      <c r="D648" s="100" t="s">
        <v>10</v>
      </c>
      <c r="E648" s="101">
        <v>1.0</v>
      </c>
      <c r="F648" s="102">
        <v>1.0</v>
      </c>
      <c r="H648" s="72" t="s">
        <v>6</v>
      </c>
      <c r="I648" s="73">
        <v>1.0</v>
      </c>
      <c r="J648" s="191"/>
      <c r="K648" s="100" t="s">
        <v>13</v>
      </c>
      <c r="L648" s="101"/>
      <c r="M648" s="102"/>
      <c r="O648" s="72" t="s">
        <v>10</v>
      </c>
      <c r="P648" s="73">
        <v>1.0</v>
      </c>
      <c r="Q648" s="69">
        <v>2.0</v>
      </c>
      <c r="R648" s="100" t="s">
        <v>278</v>
      </c>
      <c r="S648" s="101">
        <v>1.0</v>
      </c>
      <c r="T648" s="102">
        <v>1.0</v>
      </c>
      <c r="V648" s="72" t="s">
        <v>17</v>
      </c>
      <c r="W648" s="73"/>
      <c r="X648" s="69"/>
      <c r="Y648" s="100" t="s">
        <v>263</v>
      </c>
      <c r="Z648" s="101">
        <v>3.0</v>
      </c>
      <c r="AA648" s="102"/>
      <c r="AC648" s="22" t="s">
        <v>29</v>
      </c>
      <c r="AD648" s="52">
        <v>3.0</v>
      </c>
      <c r="AF648" s="52" t="s">
        <v>38</v>
      </c>
      <c r="AG648" s="52">
        <v>1.0</v>
      </c>
    </row>
    <row r="649" ht="14.25" customHeight="1">
      <c r="A649" s="72" t="s">
        <v>11</v>
      </c>
      <c r="B649" s="73"/>
      <c r="C649" s="69">
        <v>1.0</v>
      </c>
      <c r="D649" s="100" t="s">
        <v>263</v>
      </c>
      <c r="E649" s="101">
        <v>1.0</v>
      </c>
      <c r="F649" s="102">
        <v>3.0</v>
      </c>
      <c r="H649" s="72" t="s">
        <v>5</v>
      </c>
      <c r="I649" s="73"/>
      <c r="J649" s="191"/>
      <c r="K649" s="100" t="s">
        <v>18</v>
      </c>
      <c r="L649" s="101"/>
      <c r="M649" s="102"/>
      <c r="O649" s="72" t="s">
        <v>17</v>
      </c>
      <c r="P649" s="73">
        <v>1.0</v>
      </c>
      <c r="Q649" s="69">
        <v>2.0</v>
      </c>
      <c r="R649" s="100" t="s">
        <v>263</v>
      </c>
      <c r="S649" s="101"/>
      <c r="T649" s="102"/>
      <c r="V649" s="72" t="s">
        <v>39</v>
      </c>
      <c r="W649" s="73"/>
      <c r="X649" s="69"/>
      <c r="Y649" s="100" t="s">
        <v>4</v>
      </c>
      <c r="Z649" s="101">
        <v>1.0</v>
      </c>
      <c r="AA649" s="102">
        <v>1.0</v>
      </c>
      <c r="AC649" s="22" t="s">
        <v>8</v>
      </c>
      <c r="AD649" s="52">
        <v>3.0</v>
      </c>
      <c r="AF649" s="52" t="s">
        <v>174</v>
      </c>
      <c r="AG649" s="52">
        <v>1.0</v>
      </c>
    </row>
    <row r="650" ht="14.25" customHeight="1">
      <c r="A650" s="77" t="s">
        <v>278</v>
      </c>
      <c r="B650" s="78"/>
      <c r="C650" s="82">
        <v>1.0</v>
      </c>
      <c r="D650" s="103" t="s">
        <v>5</v>
      </c>
      <c r="E650" s="104">
        <v>1.0</v>
      </c>
      <c r="F650" s="105"/>
      <c r="H650" s="77" t="s">
        <v>17</v>
      </c>
      <c r="I650" s="78"/>
      <c r="J650" s="190">
        <v>1.0</v>
      </c>
      <c r="K650" s="103" t="s">
        <v>11</v>
      </c>
      <c r="L650" s="104"/>
      <c r="M650" s="105"/>
      <c r="O650" s="77" t="s">
        <v>5</v>
      </c>
      <c r="P650" s="78">
        <v>1.0</v>
      </c>
      <c r="Q650" s="190">
        <v>1.0</v>
      </c>
      <c r="R650" s="103" t="s">
        <v>18</v>
      </c>
      <c r="S650" s="104"/>
      <c r="T650" s="105"/>
      <c r="V650" s="77" t="s">
        <v>278</v>
      </c>
      <c r="W650" s="78">
        <v>1.0</v>
      </c>
      <c r="X650" s="82"/>
      <c r="Y650" s="103" t="s">
        <v>5</v>
      </c>
      <c r="Z650" s="104">
        <v>1.0</v>
      </c>
      <c r="AA650" s="105"/>
      <c r="AC650" s="22" t="s">
        <v>134</v>
      </c>
      <c r="AD650" s="52">
        <v>2.0</v>
      </c>
      <c r="AF650" s="52" t="s">
        <v>33</v>
      </c>
      <c r="AG650" s="52">
        <v>1.0</v>
      </c>
    </row>
    <row r="651" ht="14.25" customHeight="1">
      <c r="A651" s="77" t="s">
        <v>285</v>
      </c>
      <c r="B651" s="78">
        <v>1.0</v>
      </c>
      <c r="Y651" s="59"/>
      <c r="Z651" s="59"/>
      <c r="AC651" s="22" t="s">
        <v>82</v>
      </c>
      <c r="AD651" s="52">
        <v>2.0</v>
      </c>
      <c r="AF651" s="52" t="s">
        <v>61</v>
      </c>
      <c r="AG651" s="52">
        <v>1.0</v>
      </c>
    </row>
    <row r="652" ht="14.25" customHeight="1">
      <c r="V652" s="90"/>
      <c r="W652" s="90"/>
      <c r="X652" s="90"/>
      <c r="Y652" s="90"/>
      <c r="Z652" s="90"/>
      <c r="AC652" s="22" t="s">
        <v>41</v>
      </c>
      <c r="AD652" s="52">
        <v>2.0</v>
      </c>
      <c r="AF652" s="52" t="s">
        <v>286</v>
      </c>
      <c r="AG652" s="52">
        <v>1.0</v>
      </c>
    </row>
    <row r="653" ht="14.25" customHeight="1">
      <c r="V653" s="92" t="s">
        <v>3</v>
      </c>
      <c r="W653" s="93"/>
      <c r="X653" s="30"/>
      <c r="Y653" s="50">
        <f>A644+D644+H644+K644+O644+R644+V644+Y644</f>
        <v>35</v>
      </c>
      <c r="Z653" s="30"/>
      <c r="AC653" s="22" t="s">
        <v>232</v>
      </c>
      <c r="AD653" s="52">
        <v>2.0</v>
      </c>
    </row>
    <row r="654" ht="14.25" customHeight="1">
      <c r="AC654" s="22"/>
    </row>
    <row r="655" ht="14.25" customHeight="1"/>
    <row r="656" ht="14.25" customHeight="1">
      <c r="P656" s="8">
        <v>44927.0</v>
      </c>
      <c r="Q656" s="2"/>
      <c r="R656" s="2"/>
      <c r="S656" s="3"/>
    </row>
    <row r="657" ht="14.25" customHeight="1"/>
    <row r="658" ht="14.25" customHeight="1">
      <c r="A658" s="9">
        <v>18.0</v>
      </c>
      <c r="B658" s="10">
        <v>44929.0</v>
      </c>
      <c r="C658" s="2"/>
      <c r="D658" s="2"/>
      <c r="E658" s="2"/>
      <c r="F658" s="3"/>
      <c r="H658" s="9">
        <v>19.0</v>
      </c>
      <c r="I658" s="10">
        <v>44936.0</v>
      </c>
      <c r="J658" s="2"/>
      <c r="K658" s="2"/>
      <c r="L658" s="2"/>
      <c r="M658" s="3"/>
      <c r="O658" s="9">
        <v>20.0</v>
      </c>
      <c r="P658" s="10">
        <v>44943.0</v>
      </c>
      <c r="Q658" s="2"/>
      <c r="R658" s="2"/>
      <c r="S658" s="2"/>
      <c r="T658" s="3"/>
      <c r="V658" s="9">
        <v>21.0</v>
      </c>
      <c r="W658" s="10">
        <v>44950.0</v>
      </c>
      <c r="X658" s="2"/>
      <c r="Y658" s="2"/>
      <c r="Z658" s="2"/>
      <c r="AA658" s="3"/>
      <c r="AC658" s="9">
        <v>22.0</v>
      </c>
      <c r="AD658" s="10">
        <v>44957.0</v>
      </c>
      <c r="AE658" s="2"/>
      <c r="AF658" s="2"/>
      <c r="AG658" s="2"/>
      <c r="AH658" s="3"/>
    </row>
    <row r="659" ht="14.25" customHeight="1">
      <c r="A659" s="14">
        <v>4.0</v>
      </c>
      <c r="B659" s="2"/>
      <c r="C659" s="3"/>
      <c r="D659" s="39">
        <v>3.0</v>
      </c>
      <c r="E659" s="2"/>
      <c r="F659" s="3"/>
      <c r="H659" s="14">
        <v>3.0</v>
      </c>
      <c r="I659" s="2"/>
      <c r="J659" s="3"/>
      <c r="K659" s="39">
        <v>5.0</v>
      </c>
      <c r="L659" s="2"/>
      <c r="M659" s="3"/>
      <c r="O659" s="14">
        <v>7.0</v>
      </c>
      <c r="P659" s="2"/>
      <c r="Q659" s="3"/>
      <c r="R659" s="39">
        <v>5.0</v>
      </c>
      <c r="S659" s="2"/>
      <c r="T659" s="3"/>
      <c r="V659" s="14">
        <v>4.0</v>
      </c>
      <c r="W659" s="2"/>
      <c r="X659" s="3"/>
      <c r="Y659" s="39">
        <v>4.0</v>
      </c>
      <c r="Z659" s="2"/>
      <c r="AA659" s="3"/>
      <c r="AC659" s="14">
        <v>5.0</v>
      </c>
      <c r="AD659" s="2"/>
      <c r="AE659" s="3"/>
      <c r="AF659" s="39">
        <v>4.0</v>
      </c>
      <c r="AG659" s="2"/>
      <c r="AH659" s="3"/>
    </row>
    <row r="660" ht="12.0" customHeight="1">
      <c r="A660" s="66"/>
      <c r="B660" s="61" t="s">
        <v>69</v>
      </c>
      <c r="C660" s="62" t="s">
        <v>70</v>
      </c>
      <c r="D660" s="94"/>
      <c r="E660" s="95" t="s">
        <v>69</v>
      </c>
      <c r="F660" s="96" t="s">
        <v>70</v>
      </c>
      <c r="H660" s="66"/>
      <c r="I660" s="61" t="s">
        <v>69</v>
      </c>
      <c r="J660" s="62" t="s">
        <v>70</v>
      </c>
      <c r="K660" s="94"/>
      <c r="L660" s="95" t="s">
        <v>69</v>
      </c>
      <c r="M660" s="96" t="s">
        <v>70</v>
      </c>
      <c r="O660" s="66"/>
      <c r="P660" s="61" t="s">
        <v>69</v>
      </c>
      <c r="Q660" s="62" t="s">
        <v>70</v>
      </c>
      <c r="R660" s="94"/>
      <c r="S660" s="95" t="s">
        <v>69</v>
      </c>
      <c r="T660" s="96" t="s">
        <v>70</v>
      </c>
      <c r="V660" s="66"/>
      <c r="W660" s="61" t="s">
        <v>69</v>
      </c>
      <c r="X660" s="62" t="s">
        <v>70</v>
      </c>
      <c r="Y660" s="94"/>
      <c r="Z660" s="95" t="s">
        <v>69</v>
      </c>
      <c r="AA660" s="96" t="s">
        <v>70</v>
      </c>
      <c r="AC660" s="66"/>
      <c r="AD660" s="61" t="s">
        <v>69</v>
      </c>
      <c r="AE660" s="62" t="s">
        <v>70</v>
      </c>
      <c r="AF660" s="94"/>
      <c r="AG660" s="95" t="s">
        <v>69</v>
      </c>
      <c r="AH660" s="96" t="s">
        <v>70</v>
      </c>
    </row>
    <row r="661" ht="14.25" customHeight="1">
      <c r="A661" s="67" t="s">
        <v>5</v>
      </c>
      <c r="B661" s="68">
        <v>1.0</v>
      </c>
      <c r="C661" s="69">
        <v>1.0</v>
      </c>
      <c r="D661" s="97" t="s">
        <v>153</v>
      </c>
      <c r="E661" s="98"/>
      <c r="F661" s="99">
        <v>1.0</v>
      </c>
      <c r="H661" s="67" t="s">
        <v>20</v>
      </c>
      <c r="I661" s="68">
        <v>1.0</v>
      </c>
      <c r="J661" s="69">
        <v>1.0</v>
      </c>
      <c r="K661" s="97" t="s">
        <v>10</v>
      </c>
      <c r="L661" s="98">
        <v>2.0</v>
      </c>
      <c r="M661" s="99">
        <v>2.0</v>
      </c>
      <c r="O661" s="67" t="s">
        <v>4</v>
      </c>
      <c r="P661" s="68">
        <v>4.0</v>
      </c>
      <c r="Q661" s="69">
        <v>1.0</v>
      </c>
      <c r="R661" s="97" t="s">
        <v>210</v>
      </c>
      <c r="S661" s="98">
        <v>1.0</v>
      </c>
      <c r="T661" s="99"/>
      <c r="V661" s="67" t="s">
        <v>5</v>
      </c>
      <c r="W661" s="68">
        <v>2.0</v>
      </c>
      <c r="X661" s="69"/>
      <c r="Y661" s="97" t="s">
        <v>13</v>
      </c>
      <c r="Z661" s="98">
        <v>2.0</v>
      </c>
      <c r="AA661" s="99"/>
      <c r="AC661" s="67" t="s">
        <v>5</v>
      </c>
      <c r="AD661" s="68"/>
      <c r="AE661" s="69">
        <v>2.0</v>
      </c>
      <c r="AF661" s="97" t="s">
        <v>13</v>
      </c>
      <c r="AG661" s="98"/>
      <c r="AH661" s="99">
        <v>1.0</v>
      </c>
    </row>
    <row r="662" ht="14.25" customHeight="1">
      <c r="A662" s="72" t="s">
        <v>10</v>
      </c>
      <c r="B662" s="73"/>
      <c r="C662" s="69"/>
      <c r="D662" s="100" t="s">
        <v>11</v>
      </c>
      <c r="E662" s="101"/>
      <c r="F662" s="102"/>
      <c r="H662" s="72" t="s">
        <v>248</v>
      </c>
      <c r="I662" s="73"/>
      <c r="J662" s="69"/>
      <c r="K662" s="100" t="s">
        <v>7</v>
      </c>
      <c r="L662" s="101">
        <v>1.0</v>
      </c>
      <c r="M662" s="102">
        <v>1.0</v>
      </c>
      <c r="O662" s="72" t="s">
        <v>166</v>
      </c>
      <c r="P662" s="73"/>
      <c r="Q662" s="69"/>
      <c r="R662" s="100" t="s">
        <v>7</v>
      </c>
      <c r="S662" s="101"/>
      <c r="T662" s="102">
        <v>1.0</v>
      </c>
      <c r="V662" s="72" t="s">
        <v>10</v>
      </c>
      <c r="W662" s="73">
        <v>1.0</v>
      </c>
      <c r="X662" s="69"/>
      <c r="Y662" s="100" t="s">
        <v>17</v>
      </c>
      <c r="Z662" s="101">
        <v>1.0</v>
      </c>
      <c r="AA662" s="102"/>
      <c r="AC662" s="72" t="s">
        <v>10</v>
      </c>
      <c r="AD662" s="73"/>
      <c r="AE662" s="69"/>
      <c r="AF662" s="100" t="s">
        <v>166</v>
      </c>
      <c r="AG662" s="101">
        <v>1.0</v>
      </c>
      <c r="AH662" s="102"/>
    </row>
    <row r="663" ht="14.25" customHeight="1">
      <c r="A663" s="72" t="s">
        <v>278</v>
      </c>
      <c r="B663" s="73">
        <v>2.0</v>
      </c>
      <c r="C663" s="69">
        <v>1.0</v>
      </c>
      <c r="D663" s="100" t="s">
        <v>4</v>
      </c>
      <c r="E663" s="101">
        <v>1.0</v>
      </c>
      <c r="F663" s="102"/>
      <c r="H663" s="72" t="s">
        <v>18</v>
      </c>
      <c r="I663" s="73"/>
      <c r="J663" s="69"/>
      <c r="K663" s="100" t="s">
        <v>263</v>
      </c>
      <c r="L663" s="101"/>
      <c r="M663" s="102">
        <v>1.0</v>
      </c>
      <c r="O663" s="72" t="s">
        <v>20</v>
      </c>
      <c r="P663" s="73">
        <v>2.0</v>
      </c>
      <c r="Q663" s="69">
        <v>1.0</v>
      </c>
      <c r="R663" s="100" t="s">
        <v>18</v>
      </c>
      <c r="S663" s="101">
        <v>1.0</v>
      </c>
      <c r="T663" s="102">
        <v>1.0</v>
      </c>
      <c r="V663" s="72" t="s">
        <v>166</v>
      </c>
      <c r="W663" s="73"/>
      <c r="X663" s="69">
        <v>1.0</v>
      </c>
      <c r="Y663" s="100" t="s">
        <v>18</v>
      </c>
      <c r="Z663" s="101"/>
      <c r="AA663" s="102"/>
      <c r="AC663" s="72" t="s">
        <v>263</v>
      </c>
      <c r="AD663" s="73"/>
      <c r="AE663" s="69">
        <v>2.0</v>
      </c>
      <c r="AF663" s="100" t="s">
        <v>18</v>
      </c>
      <c r="AG663" s="101"/>
      <c r="AH663" s="102"/>
    </row>
    <row r="664" ht="14.25" customHeight="1">
      <c r="A664" s="72" t="s">
        <v>17</v>
      </c>
      <c r="B664" s="73"/>
      <c r="C664" s="69"/>
      <c r="D664" s="100" t="s">
        <v>39</v>
      </c>
      <c r="E664" s="101">
        <v>2.0</v>
      </c>
      <c r="F664" s="102">
        <v>1.0</v>
      </c>
      <c r="H664" s="72" t="s">
        <v>271</v>
      </c>
      <c r="I664" s="73">
        <v>1.0</v>
      </c>
      <c r="J664" s="69"/>
      <c r="K664" s="100" t="s">
        <v>278</v>
      </c>
      <c r="L664" s="101">
        <v>1.0</v>
      </c>
      <c r="M664" s="102"/>
      <c r="O664" s="72" t="s">
        <v>9</v>
      </c>
      <c r="P664" s="73">
        <v>1.0</v>
      </c>
      <c r="Q664" s="69"/>
      <c r="R664" s="100" t="s">
        <v>13</v>
      </c>
      <c r="S664" s="101">
        <v>2.0</v>
      </c>
      <c r="T664" s="102">
        <v>1.0</v>
      </c>
      <c r="V664" s="72" t="s">
        <v>278</v>
      </c>
      <c r="W664" s="73"/>
      <c r="X664" s="69"/>
      <c r="Y664" s="100" t="s">
        <v>4</v>
      </c>
      <c r="Z664" s="101">
        <v>1.0</v>
      </c>
      <c r="AA664" s="102">
        <v>1.0</v>
      </c>
      <c r="AC664" s="72" t="s">
        <v>278</v>
      </c>
      <c r="AD664" s="73">
        <v>3.0</v>
      </c>
      <c r="AE664" s="69"/>
      <c r="AF664" s="100" t="s">
        <v>4</v>
      </c>
      <c r="AG664" s="101">
        <v>1.0</v>
      </c>
      <c r="AH664" s="102"/>
    </row>
    <row r="665" ht="14.25" customHeight="1">
      <c r="A665" s="77" t="s">
        <v>7</v>
      </c>
      <c r="B665" s="78"/>
      <c r="C665" s="82">
        <v>1.0</v>
      </c>
      <c r="D665" s="103" t="s">
        <v>9</v>
      </c>
      <c r="E665" s="104"/>
      <c r="F665" s="105"/>
      <c r="H665" s="77" t="s">
        <v>166</v>
      </c>
      <c r="I665" s="78"/>
      <c r="J665" s="82"/>
      <c r="K665" s="103" t="s">
        <v>5</v>
      </c>
      <c r="L665" s="104">
        <v>1.0</v>
      </c>
      <c r="M665" s="105">
        <v>1.0</v>
      </c>
      <c r="O665" s="77" t="s">
        <v>263</v>
      </c>
      <c r="P665" s="78"/>
      <c r="Q665" s="82">
        <v>1.0</v>
      </c>
      <c r="R665" s="103" t="s">
        <v>17</v>
      </c>
      <c r="S665" s="104">
        <v>1.0</v>
      </c>
      <c r="T665" s="105">
        <v>1.0</v>
      </c>
      <c r="V665" s="77" t="s">
        <v>7</v>
      </c>
      <c r="W665" s="78">
        <v>1.0</v>
      </c>
      <c r="X665" s="82">
        <v>2.0</v>
      </c>
      <c r="Y665" s="103" t="s">
        <v>20</v>
      </c>
      <c r="Z665" s="104"/>
      <c r="AA665" s="105">
        <v>1.0</v>
      </c>
      <c r="AC665" s="77" t="s">
        <v>7</v>
      </c>
      <c r="AD665" s="78">
        <v>2.0</v>
      </c>
      <c r="AE665" s="82">
        <v>1.0</v>
      </c>
      <c r="AF665" s="103" t="s">
        <v>20</v>
      </c>
      <c r="AG665" s="104">
        <v>2.0</v>
      </c>
      <c r="AH665" s="105"/>
    </row>
    <row r="666" ht="14.25" customHeight="1">
      <c r="A666" s="77" t="s">
        <v>287</v>
      </c>
      <c r="B666" s="78">
        <v>1.0</v>
      </c>
      <c r="H666" s="77" t="s">
        <v>213</v>
      </c>
      <c r="I666" s="78">
        <v>1.0</v>
      </c>
    </row>
    <row r="667" ht="14.25" customHeight="1"/>
    <row r="668" ht="14.25" customHeight="1">
      <c r="V668" s="90"/>
      <c r="W668" s="90"/>
      <c r="X668" s="90"/>
      <c r="Y668" s="90"/>
      <c r="Z668" s="90"/>
    </row>
    <row r="669" ht="14.25" customHeight="1">
      <c r="A669" s="51" t="s">
        <v>288</v>
      </c>
      <c r="B669" s="2"/>
      <c r="C669" s="2"/>
      <c r="D669" s="2"/>
      <c r="E669" s="3"/>
      <c r="O669" s="135"/>
      <c r="V669" s="55" t="s">
        <v>3</v>
      </c>
      <c r="W669" s="2"/>
      <c r="X669" s="3"/>
      <c r="Y669" s="56">
        <f>A659+D659+H659+K659+O659+R659+V659+Y659+AC659+AF659</f>
        <v>44</v>
      </c>
      <c r="Z669" s="3"/>
    </row>
    <row r="670" ht="14.25" customHeight="1"/>
    <row r="671" ht="14.25" customHeight="1">
      <c r="A671" s="52" t="s">
        <v>49</v>
      </c>
      <c r="B671" s="52">
        <v>7.0</v>
      </c>
      <c r="D671" s="52" t="s">
        <v>203</v>
      </c>
      <c r="E671" s="52">
        <v>1.0</v>
      </c>
    </row>
    <row r="672" ht="14.25" customHeight="1">
      <c r="A672" s="52" t="s">
        <v>277</v>
      </c>
      <c r="B672" s="52">
        <v>6.0</v>
      </c>
      <c r="D672" s="52" t="s">
        <v>134</v>
      </c>
      <c r="E672" s="52">
        <v>1.0</v>
      </c>
    </row>
    <row r="673" ht="14.25" customHeight="1">
      <c r="A673" s="52" t="s">
        <v>38</v>
      </c>
      <c r="B673" s="52">
        <v>5.0</v>
      </c>
      <c r="D673" s="52" t="s">
        <v>272</v>
      </c>
      <c r="E673" s="52">
        <v>1.0</v>
      </c>
    </row>
    <row r="674" ht="14.25" customHeight="1">
      <c r="A674" s="52" t="s">
        <v>8</v>
      </c>
      <c r="B674" s="52">
        <v>4.0</v>
      </c>
      <c r="D674" s="52" t="s">
        <v>91</v>
      </c>
      <c r="E674" s="52">
        <v>1.0</v>
      </c>
    </row>
    <row r="675" ht="14.25" customHeight="1">
      <c r="A675" s="52" t="s">
        <v>33</v>
      </c>
      <c r="B675" s="52">
        <v>4.0</v>
      </c>
      <c r="D675" s="52" t="s">
        <v>289</v>
      </c>
      <c r="E675" s="52">
        <v>1.0</v>
      </c>
    </row>
    <row r="676" ht="14.25" customHeight="1">
      <c r="A676" s="52" t="s">
        <v>29</v>
      </c>
      <c r="B676" s="52">
        <v>4.0</v>
      </c>
    </row>
    <row r="677" ht="14.25" customHeight="1">
      <c r="A677" s="52" t="s">
        <v>82</v>
      </c>
      <c r="B677" s="52">
        <v>3.0</v>
      </c>
      <c r="D677" s="52" t="s">
        <v>213</v>
      </c>
      <c r="E677" s="52">
        <v>1.0</v>
      </c>
    </row>
    <row r="678" ht="14.25" customHeight="1">
      <c r="A678" s="52" t="s">
        <v>61</v>
      </c>
      <c r="B678" s="52">
        <v>2.0</v>
      </c>
      <c r="D678" s="52" t="s">
        <v>287</v>
      </c>
      <c r="E678" s="52">
        <v>1.0</v>
      </c>
    </row>
    <row r="679" ht="14.25" customHeight="1">
      <c r="A679" s="52" t="s">
        <v>174</v>
      </c>
      <c r="B679" s="52">
        <v>2.0</v>
      </c>
    </row>
    <row r="680" ht="14.25" customHeight="1"/>
    <row r="681" ht="14.25" customHeight="1">
      <c r="P681" s="8">
        <v>44958.0</v>
      </c>
      <c r="Q681" s="2"/>
      <c r="R681" s="2"/>
      <c r="S681" s="3"/>
    </row>
    <row r="682" ht="14.25" customHeight="1"/>
    <row r="683" ht="14.25" customHeight="1">
      <c r="A683" s="9">
        <v>23.0</v>
      </c>
      <c r="B683" s="10">
        <v>44964.0</v>
      </c>
      <c r="C683" s="2"/>
      <c r="D683" s="2"/>
      <c r="E683" s="2"/>
      <c r="F683" s="3"/>
      <c r="H683" s="9">
        <v>24.0</v>
      </c>
      <c r="I683" s="10">
        <v>44971.0</v>
      </c>
      <c r="J683" s="2"/>
      <c r="K683" s="2"/>
      <c r="L683" s="2"/>
      <c r="M683" s="3"/>
      <c r="O683" s="9">
        <v>25.0</v>
      </c>
      <c r="P683" s="10">
        <v>44978.0</v>
      </c>
      <c r="Q683" s="2"/>
      <c r="R683" s="2"/>
      <c r="S683" s="2"/>
      <c r="T683" s="3"/>
      <c r="V683" s="9">
        <v>26.0</v>
      </c>
      <c r="W683" s="10">
        <v>44985.0</v>
      </c>
      <c r="X683" s="2"/>
      <c r="Y683" s="2"/>
      <c r="Z683" s="2"/>
      <c r="AA683" s="3"/>
      <c r="AC683" s="51" t="s">
        <v>290</v>
      </c>
      <c r="AD683" s="2"/>
      <c r="AE683" s="2"/>
      <c r="AF683" s="2"/>
      <c r="AG683" s="3"/>
    </row>
    <row r="684" ht="14.25" customHeight="1">
      <c r="A684" s="14">
        <v>0.0</v>
      </c>
      <c r="B684" s="2"/>
      <c r="C684" s="3"/>
      <c r="D684" s="39">
        <v>5.0</v>
      </c>
      <c r="E684" s="2"/>
      <c r="F684" s="3"/>
      <c r="H684" s="14">
        <v>2.0</v>
      </c>
      <c r="I684" s="2"/>
      <c r="J684" s="3"/>
      <c r="K684" s="39">
        <v>7.0</v>
      </c>
      <c r="L684" s="2"/>
      <c r="M684" s="3"/>
      <c r="O684" s="14">
        <v>6.0</v>
      </c>
      <c r="P684" s="2"/>
      <c r="Q684" s="3"/>
      <c r="R684" s="39">
        <v>4.0</v>
      </c>
      <c r="S684" s="2"/>
      <c r="T684" s="3"/>
      <c r="V684" s="14">
        <v>4.0</v>
      </c>
      <c r="W684" s="2"/>
      <c r="X684" s="3"/>
      <c r="Y684" s="39">
        <v>10.0</v>
      </c>
      <c r="Z684" s="2"/>
      <c r="AA684" s="3"/>
    </row>
    <row r="685" ht="12.0" customHeight="1">
      <c r="A685" s="60"/>
      <c r="B685" s="61" t="s">
        <v>69</v>
      </c>
      <c r="C685" s="62" t="s">
        <v>70</v>
      </c>
      <c r="D685" s="94"/>
      <c r="E685" s="95" t="s">
        <v>69</v>
      </c>
      <c r="F685" s="96" t="s">
        <v>70</v>
      </c>
      <c r="H685" s="66"/>
      <c r="I685" s="61" t="s">
        <v>69</v>
      </c>
      <c r="J685" s="61" t="s">
        <v>70</v>
      </c>
      <c r="K685" s="94"/>
      <c r="L685" s="95" t="s">
        <v>69</v>
      </c>
      <c r="M685" s="96" t="s">
        <v>70</v>
      </c>
      <c r="O685" s="66"/>
      <c r="P685" s="61" t="s">
        <v>69</v>
      </c>
      <c r="Q685" s="62" t="s">
        <v>70</v>
      </c>
      <c r="R685" s="94"/>
      <c r="S685" s="95" t="s">
        <v>69</v>
      </c>
      <c r="T685" s="96" t="s">
        <v>70</v>
      </c>
      <c r="V685" s="66"/>
      <c r="W685" s="61" t="s">
        <v>69</v>
      </c>
      <c r="X685" s="62" t="s">
        <v>70</v>
      </c>
      <c r="Y685" s="94"/>
      <c r="Z685" s="95" t="s">
        <v>69</v>
      </c>
      <c r="AA685" s="96" t="s">
        <v>70</v>
      </c>
      <c r="AC685" s="23" t="s">
        <v>41</v>
      </c>
      <c r="AD685" s="52">
        <v>6.0</v>
      </c>
      <c r="AF685" s="23" t="s">
        <v>203</v>
      </c>
      <c r="AG685" s="52">
        <v>2.0</v>
      </c>
    </row>
    <row r="686" ht="14.25" customHeight="1">
      <c r="A686" s="67" t="s">
        <v>166</v>
      </c>
      <c r="B686" s="68"/>
      <c r="C686" s="69"/>
      <c r="D686" s="97" t="s">
        <v>6</v>
      </c>
      <c r="E686" s="98"/>
      <c r="F686" s="99"/>
      <c r="H686" s="67" t="s">
        <v>10</v>
      </c>
      <c r="I686" s="68"/>
      <c r="J686" s="191"/>
      <c r="K686" s="97" t="s">
        <v>248</v>
      </c>
      <c r="L686" s="98">
        <v>3.0</v>
      </c>
      <c r="M686" s="99">
        <v>2.0</v>
      </c>
      <c r="O686" s="67" t="s">
        <v>7</v>
      </c>
      <c r="P686" s="68">
        <v>1.0</v>
      </c>
      <c r="Q686" s="69">
        <v>3.0</v>
      </c>
      <c r="R686" s="97" t="s">
        <v>278</v>
      </c>
      <c r="S686" s="98">
        <v>1.0</v>
      </c>
      <c r="T686" s="99"/>
      <c r="V686" s="67" t="s">
        <v>166</v>
      </c>
      <c r="W686" s="68">
        <v>1.0</v>
      </c>
      <c r="X686" s="69"/>
      <c r="Y686" s="97" t="s">
        <v>5</v>
      </c>
      <c r="Z686" s="98">
        <v>2.0</v>
      </c>
      <c r="AA686" s="99">
        <v>2.0</v>
      </c>
      <c r="AC686" s="23" t="s">
        <v>38</v>
      </c>
      <c r="AD686" s="52">
        <v>6.0</v>
      </c>
      <c r="AF686" s="23" t="s">
        <v>289</v>
      </c>
      <c r="AG686" s="52">
        <v>1.0</v>
      </c>
    </row>
    <row r="687" ht="14.25" customHeight="1">
      <c r="A687" s="72" t="s">
        <v>278</v>
      </c>
      <c r="B687" s="73"/>
      <c r="C687" s="69"/>
      <c r="D687" s="100" t="s">
        <v>106</v>
      </c>
      <c r="E687" s="101">
        <v>2.0</v>
      </c>
      <c r="F687" s="102"/>
      <c r="H687" s="72" t="s">
        <v>131</v>
      </c>
      <c r="I687" s="73"/>
      <c r="J687" s="191"/>
      <c r="K687" s="100" t="s">
        <v>11</v>
      </c>
      <c r="L687" s="101">
        <v>2.0</v>
      </c>
      <c r="M687" s="102"/>
      <c r="O687" s="72" t="s">
        <v>4</v>
      </c>
      <c r="P687" s="73">
        <v>2.0</v>
      </c>
      <c r="Q687" s="69"/>
      <c r="R687" s="100" t="s">
        <v>166</v>
      </c>
      <c r="S687" s="101">
        <v>1.0</v>
      </c>
      <c r="T687" s="102"/>
      <c r="V687" s="72" t="s">
        <v>11</v>
      </c>
      <c r="W687" s="73">
        <v>1.0</v>
      </c>
      <c r="X687" s="69"/>
      <c r="Y687" s="100" t="s">
        <v>20</v>
      </c>
      <c r="Z687" s="101">
        <v>3.0</v>
      </c>
      <c r="AA687" s="102">
        <v>1.0</v>
      </c>
      <c r="AC687" s="23" t="s">
        <v>29</v>
      </c>
      <c r="AD687" s="52">
        <v>5.0</v>
      </c>
      <c r="AF687" s="52" t="s">
        <v>277</v>
      </c>
      <c r="AG687" s="52">
        <v>1.0</v>
      </c>
    </row>
    <row r="688" ht="14.25" customHeight="1">
      <c r="A688" s="72" t="s">
        <v>17</v>
      </c>
      <c r="B688" s="73"/>
      <c r="C688" s="69"/>
      <c r="D688" s="100" t="s">
        <v>11</v>
      </c>
      <c r="E688" s="101">
        <v>3.0</v>
      </c>
      <c r="F688" s="102"/>
      <c r="H688" s="72" t="s">
        <v>7</v>
      </c>
      <c r="I688" s="73"/>
      <c r="J688" s="191"/>
      <c r="K688" s="100" t="s">
        <v>263</v>
      </c>
      <c r="L688" s="101">
        <v>1.0</v>
      </c>
      <c r="M688" s="102">
        <v>1.0</v>
      </c>
      <c r="O688" s="72" t="s">
        <v>5</v>
      </c>
      <c r="P688" s="73">
        <v>1.0</v>
      </c>
      <c r="Q688" s="69"/>
      <c r="R688" s="100" t="s">
        <v>263</v>
      </c>
      <c r="S688" s="101">
        <v>2.0</v>
      </c>
      <c r="T688" s="102">
        <v>1.0</v>
      </c>
      <c r="V688" s="72" t="s">
        <v>4</v>
      </c>
      <c r="W688" s="73"/>
      <c r="X688" s="69"/>
      <c r="Y688" s="100" t="s">
        <v>263</v>
      </c>
      <c r="Z688" s="101">
        <v>1.0</v>
      </c>
      <c r="AA688" s="102">
        <v>3.0</v>
      </c>
      <c r="AC688" s="23" t="s">
        <v>267</v>
      </c>
      <c r="AD688" s="52">
        <v>4.0</v>
      </c>
      <c r="AF688" s="23" t="s">
        <v>134</v>
      </c>
      <c r="AG688" s="52">
        <v>1.0</v>
      </c>
    </row>
    <row r="689" ht="14.25" customHeight="1">
      <c r="A689" s="72" t="s">
        <v>18</v>
      </c>
      <c r="B689" s="73"/>
      <c r="C689" s="69"/>
      <c r="D689" s="100" t="s">
        <v>7</v>
      </c>
      <c r="E689" s="101"/>
      <c r="F689" s="102">
        <v>4.0</v>
      </c>
      <c r="H689" s="72" t="s">
        <v>20</v>
      </c>
      <c r="I689" s="73">
        <v>1.0</v>
      </c>
      <c r="J689" s="191">
        <v>1.0</v>
      </c>
      <c r="K689" s="100" t="s">
        <v>6</v>
      </c>
      <c r="L689" s="101"/>
      <c r="M689" s="102">
        <v>1.0</v>
      </c>
      <c r="O689" s="72" t="s">
        <v>20</v>
      </c>
      <c r="P689" s="73">
        <v>2.0</v>
      </c>
      <c r="Q689" s="69">
        <v>3.0</v>
      </c>
      <c r="R689" s="100" t="s">
        <v>18</v>
      </c>
      <c r="S689" s="101"/>
      <c r="T689" s="102"/>
      <c r="V689" s="72" t="s">
        <v>18</v>
      </c>
      <c r="W689" s="73"/>
      <c r="X689" s="69"/>
      <c r="Y689" s="100" t="s">
        <v>10</v>
      </c>
      <c r="Z689" s="101"/>
      <c r="AA689" s="102">
        <v>1.0</v>
      </c>
      <c r="AC689" s="23" t="s">
        <v>291</v>
      </c>
      <c r="AD689" s="52">
        <v>3.0</v>
      </c>
      <c r="AF689" s="52" t="s">
        <v>33</v>
      </c>
      <c r="AG689" s="52">
        <v>1.0</v>
      </c>
    </row>
    <row r="690" ht="14.25" customHeight="1">
      <c r="A690" s="77" t="s">
        <v>13</v>
      </c>
      <c r="B690" s="78"/>
      <c r="C690" s="82"/>
      <c r="D690" s="103" t="s">
        <v>20</v>
      </c>
      <c r="E690" s="104"/>
      <c r="F690" s="105"/>
      <c r="H690" s="77" t="s">
        <v>210</v>
      </c>
      <c r="I690" s="78">
        <v>1.0</v>
      </c>
      <c r="J690" s="190"/>
      <c r="K690" s="103" t="s">
        <v>9</v>
      </c>
      <c r="L690" s="104">
        <v>1.0</v>
      </c>
      <c r="M690" s="105">
        <v>1.0</v>
      </c>
      <c r="O690" s="77" t="s">
        <v>11</v>
      </c>
      <c r="P690" s="78"/>
      <c r="Q690" s="190"/>
      <c r="R690" s="103" t="s">
        <v>17</v>
      </c>
      <c r="S690" s="104"/>
      <c r="T690" s="105"/>
      <c r="V690" s="77" t="s">
        <v>13</v>
      </c>
      <c r="W690" s="78">
        <v>1.0</v>
      </c>
      <c r="X690" s="82">
        <v>1.0</v>
      </c>
      <c r="Y690" s="103" t="s">
        <v>7</v>
      </c>
      <c r="Z690" s="104">
        <v>4.0</v>
      </c>
      <c r="AA690" s="105">
        <v>1.0</v>
      </c>
      <c r="AC690" s="23" t="s">
        <v>8</v>
      </c>
      <c r="AD690" s="52">
        <v>3.0</v>
      </c>
      <c r="AF690" s="23" t="s">
        <v>292</v>
      </c>
      <c r="AG690" s="52">
        <v>1.0</v>
      </c>
    </row>
    <row r="691" ht="14.25" customHeight="1">
      <c r="V691" s="77" t="s">
        <v>292</v>
      </c>
      <c r="W691" s="78">
        <v>1.0</v>
      </c>
      <c r="Y691" s="59"/>
      <c r="Z691" s="59"/>
      <c r="AC691" s="23" t="s">
        <v>82</v>
      </c>
      <c r="AD691" s="52">
        <v>2.0</v>
      </c>
    </row>
    <row r="692" ht="14.25" customHeight="1">
      <c r="V692" s="90"/>
      <c r="W692" s="90"/>
      <c r="X692" s="90"/>
      <c r="Y692" s="90"/>
      <c r="Z692" s="90"/>
      <c r="AC692" s="23" t="s">
        <v>49</v>
      </c>
      <c r="AD692" s="52">
        <v>2.0</v>
      </c>
    </row>
    <row r="693" ht="14.25" customHeight="1">
      <c r="V693" s="92" t="s">
        <v>3</v>
      </c>
      <c r="W693" s="93"/>
      <c r="X693" s="30"/>
      <c r="Y693" s="50">
        <f>A684+D684+H684+K684+O684+R684+V684+Y684</f>
        <v>38</v>
      </c>
      <c r="Z693" s="30"/>
      <c r="AC693" s="22"/>
    </row>
    <row r="694" ht="14.25" customHeight="1"/>
    <row r="695" ht="14.25" customHeight="1"/>
    <row r="696" ht="14.25" customHeight="1">
      <c r="P696" s="8">
        <v>44986.0</v>
      </c>
      <c r="Q696" s="2"/>
      <c r="R696" s="2"/>
      <c r="S696" s="3"/>
    </row>
    <row r="697" ht="14.25" customHeight="1"/>
    <row r="698" ht="14.25" customHeight="1">
      <c r="A698" s="9">
        <v>27.0</v>
      </c>
      <c r="B698" s="10">
        <v>44992.0</v>
      </c>
      <c r="C698" s="2"/>
      <c r="D698" s="2"/>
      <c r="E698" s="2"/>
      <c r="F698" s="3"/>
      <c r="H698" s="9">
        <v>28.0</v>
      </c>
      <c r="I698" s="10">
        <v>44999.0</v>
      </c>
      <c r="J698" s="2"/>
      <c r="K698" s="2"/>
      <c r="L698" s="2"/>
      <c r="M698" s="3"/>
      <c r="O698" s="9">
        <v>29.0</v>
      </c>
      <c r="P698" s="10">
        <v>45006.0</v>
      </c>
      <c r="Q698" s="2"/>
      <c r="R698" s="2"/>
      <c r="S698" s="2"/>
      <c r="T698" s="3"/>
      <c r="V698" s="9">
        <v>30.0</v>
      </c>
      <c r="W698" s="10">
        <v>45013.0</v>
      </c>
      <c r="X698" s="2"/>
      <c r="Y698" s="2"/>
      <c r="Z698" s="2"/>
      <c r="AA698" s="3"/>
      <c r="AC698" s="51" t="s">
        <v>293</v>
      </c>
      <c r="AD698" s="2"/>
      <c r="AE698" s="2"/>
      <c r="AF698" s="2"/>
      <c r="AG698" s="3"/>
    </row>
    <row r="699" ht="14.25" customHeight="1">
      <c r="A699" s="14">
        <v>8.0</v>
      </c>
      <c r="B699" s="2"/>
      <c r="C699" s="3"/>
      <c r="D699" s="39">
        <v>5.0</v>
      </c>
      <c r="E699" s="2"/>
      <c r="F699" s="3"/>
      <c r="H699" s="14">
        <v>12.0</v>
      </c>
      <c r="I699" s="2"/>
      <c r="J699" s="3"/>
      <c r="K699" s="39">
        <v>3.0</v>
      </c>
      <c r="L699" s="2"/>
      <c r="M699" s="3"/>
      <c r="O699" s="14">
        <v>6.0</v>
      </c>
      <c r="P699" s="2"/>
      <c r="Q699" s="3"/>
      <c r="R699" s="39">
        <v>6.0</v>
      </c>
      <c r="S699" s="2"/>
      <c r="T699" s="3"/>
      <c r="V699" s="14">
        <v>6.0</v>
      </c>
      <c r="W699" s="2"/>
      <c r="X699" s="3"/>
      <c r="Y699" s="39">
        <v>8.0</v>
      </c>
      <c r="Z699" s="2"/>
      <c r="AA699" s="3"/>
    </row>
    <row r="700" ht="12.0" customHeight="1">
      <c r="A700" s="60"/>
      <c r="B700" s="61" t="s">
        <v>69</v>
      </c>
      <c r="C700" s="62" t="s">
        <v>70</v>
      </c>
      <c r="D700" s="94"/>
      <c r="E700" s="95" t="s">
        <v>69</v>
      </c>
      <c r="F700" s="96" t="s">
        <v>70</v>
      </c>
      <c r="H700" s="66"/>
      <c r="I700" s="61" t="s">
        <v>69</v>
      </c>
      <c r="J700" s="61" t="s">
        <v>70</v>
      </c>
      <c r="K700" s="94"/>
      <c r="L700" s="95" t="s">
        <v>69</v>
      </c>
      <c r="M700" s="96" t="s">
        <v>70</v>
      </c>
      <c r="O700" s="66"/>
      <c r="P700" s="61" t="s">
        <v>69</v>
      </c>
      <c r="Q700" s="62" t="s">
        <v>70</v>
      </c>
      <c r="R700" s="94"/>
      <c r="S700" s="95" t="s">
        <v>69</v>
      </c>
      <c r="T700" s="96" t="s">
        <v>70</v>
      </c>
      <c r="V700" s="66"/>
      <c r="W700" s="61" t="s">
        <v>69</v>
      </c>
      <c r="X700" s="62" t="s">
        <v>70</v>
      </c>
      <c r="Y700" s="94"/>
      <c r="Z700" s="95" t="s">
        <v>69</v>
      </c>
      <c r="AA700" s="96" t="s">
        <v>70</v>
      </c>
      <c r="AC700" s="22" t="s">
        <v>277</v>
      </c>
      <c r="AD700" s="52">
        <v>17.0</v>
      </c>
      <c r="AF700" s="22" t="s">
        <v>203</v>
      </c>
      <c r="AG700" s="52">
        <v>3.0</v>
      </c>
    </row>
    <row r="701" ht="14.25" customHeight="1">
      <c r="A701" s="67" t="s">
        <v>11</v>
      </c>
      <c r="B701" s="68">
        <v>2.0</v>
      </c>
      <c r="C701" s="69"/>
      <c r="D701" s="97" t="s">
        <v>7</v>
      </c>
      <c r="E701" s="98">
        <v>2.0</v>
      </c>
      <c r="F701" s="99">
        <v>2.0</v>
      </c>
      <c r="H701" s="67" t="s">
        <v>11</v>
      </c>
      <c r="I701" s="68">
        <v>1.0</v>
      </c>
      <c r="J701" s="191"/>
      <c r="K701" s="97" t="s">
        <v>10</v>
      </c>
      <c r="L701" s="98"/>
      <c r="M701" s="99"/>
      <c r="O701" s="67" t="s">
        <v>10</v>
      </c>
      <c r="P701" s="68"/>
      <c r="Q701" s="69"/>
      <c r="R701" s="97" t="s">
        <v>11</v>
      </c>
      <c r="S701" s="98">
        <v>2.0</v>
      </c>
      <c r="T701" s="99">
        <v>1.0</v>
      </c>
      <c r="V701" s="67" t="s">
        <v>4</v>
      </c>
      <c r="W701" s="68"/>
      <c r="X701" s="69"/>
      <c r="Y701" s="97" t="s">
        <v>10</v>
      </c>
      <c r="Z701" s="98"/>
      <c r="AA701" s="99">
        <v>2.0</v>
      </c>
      <c r="AC701" s="22" t="s">
        <v>29</v>
      </c>
      <c r="AD701" s="52">
        <v>6.0</v>
      </c>
      <c r="AF701" s="22" t="s">
        <v>257</v>
      </c>
      <c r="AG701" s="52">
        <v>1.0</v>
      </c>
    </row>
    <row r="702" ht="14.25" customHeight="1">
      <c r="A702" s="72" t="s">
        <v>166</v>
      </c>
      <c r="B702" s="73"/>
      <c r="C702" s="69"/>
      <c r="D702" s="100" t="s">
        <v>17</v>
      </c>
      <c r="E702" s="101">
        <v>1.0</v>
      </c>
      <c r="F702" s="102"/>
      <c r="H702" s="72" t="s">
        <v>166</v>
      </c>
      <c r="I702" s="73">
        <v>1.0</v>
      </c>
      <c r="J702" s="191">
        <v>5.0</v>
      </c>
      <c r="K702" s="100" t="s">
        <v>39</v>
      </c>
      <c r="L702" s="101">
        <v>1.0</v>
      </c>
      <c r="M702" s="102">
        <v>1.0</v>
      </c>
      <c r="O702" s="72" t="s">
        <v>278</v>
      </c>
      <c r="P702" s="73">
        <v>4.0</v>
      </c>
      <c r="Q702" s="69">
        <v>1.0</v>
      </c>
      <c r="R702" s="100" t="s">
        <v>18</v>
      </c>
      <c r="S702" s="101">
        <v>1.0</v>
      </c>
      <c r="T702" s="102"/>
      <c r="V702" s="72" t="s">
        <v>5</v>
      </c>
      <c r="W702" s="73">
        <v>3.0</v>
      </c>
      <c r="X702" s="69">
        <v>1.0</v>
      </c>
      <c r="Y702" s="100" t="s">
        <v>20</v>
      </c>
      <c r="Z702" s="101">
        <v>1.0</v>
      </c>
      <c r="AA702" s="102">
        <v>1.0</v>
      </c>
      <c r="AC702" s="22" t="s">
        <v>41</v>
      </c>
      <c r="AD702" s="52">
        <v>6.0</v>
      </c>
      <c r="AF702" s="22" t="s">
        <v>61</v>
      </c>
      <c r="AG702" s="52">
        <v>1.0</v>
      </c>
    </row>
    <row r="703" ht="14.25" customHeight="1">
      <c r="A703" s="72" t="s">
        <v>278</v>
      </c>
      <c r="B703" s="73">
        <v>5.0</v>
      </c>
      <c r="C703" s="69"/>
      <c r="D703" s="100" t="s">
        <v>5</v>
      </c>
      <c r="E703" s="101">
        <v>2.0</v>
      </c>
      <c r="F703" s="102"/>
      <c r="H703" s="72" t="s">
        <v>278</v>
      </c>
      <c r="I703" s="73">
        <v>3.0</v>
      </c>
      <c r="J703" s="191"/>
      <c r="K703" s="100" t="s">
        <v>7</v>
      </c>
      <c r="L703" s="101">
        <v>2.0</v>
      </c>
      <c r="M703" s="102">
        <v>1.0</v>
      </c>
      <c r="O703" s="72" t="s">
        <v>5</v>
      </c>
      <c r="P703" s="73"/>
      <c r="Q703" s="69">
        <v>2.0</v>
      </c>
      <c r="R703" s="100" t="s">
        <v>263</v>
      </c>
      <c r="S703" s="101"/>
      <c r="T703" s="102">
        <v>1.0</v>
      </c>
      <c r="V703" s="72" t="s">
        <v>11</v>
      </c>
      <c r="W703" s="73">
        <v>1.0</v>
      </c>
      <c r="X703" s="69"/>
      <c r="Y703" s="100" t="s">
        <v>7</v>
      </c>
      <c r="Z703" s="101">
        <v>1.0</v>
      </c>
      <c r="AA703" s="102"/>
      <c r="AC703" s="22" t="s">
        <v>8</v>
      </c>
      <c r="AD703" s="52">
        <v>5.0</v>
      </c>
      <c r="AF703" s="22" t="s">
        <v>174</v>
      </c>
      <c r="AG703" s="52">
        <v>1.0</v>
      </c>
    </row>
    <row r="704" ht="14.25" customHeight="1">
      <c r="A704" s="72" t="s">
        <v>6</v>
      </c>
      <c r="B704" s="73">
        <v>1.0</v>
      </c>
      <c r="C704" s="69"/>
      <c r="D704" s="100" t="s">
        <v>10</v>
      </c>
      <c r="E704" s="101"/>
      <c r="F704" s="102"/>
      <c r="H704" s="72" t="s">
        <v>211</v>
      </c>
      <c r="I704" s="73">
        <v>3.0</v>
      </c>
      <c r="J704" s="191">
        <v>2.0</v>
      </c>
      <c r="K704" s="100" t="s">
        <v>271</v>
      </c>
      <c r="L704" s="101"/>
      <c r="M704" s="102"/>
      <c r="O704" s="72" t="s">
        <v>7</v>
      </c>
      <c r="P704" s="73">
        <v>1.0</v>
      </c>
      <c r="Q704" s="69">
        <v>1.0</v>
      </c>
      <c r="R704" s="100" t="s">
        <v>4</v>
      </c>
      <c r="S704" s="101">
        <v>3.0</v>
      </c>
      <c r="T704" s="102">
        <v>1.0</v>
      </c>
      <c r="V704" s="72" t="s">
        <v>166</v>
      </c>
      <c r="W704" s="73">
        <v>1.0</v>
      </c>
      <c r="X704" s="69">
        <v>2.0</v>
      </c>
      <c r="Y704" s="100" t="s">
        <v>278</v>
      </c>
      <c r="Z704" s="101">
        <v>5.0</v>
      </c>
      <c r="AA704" s="102">
        <v>1.0</v>
      </c>
      <c r="AC704" s="22" t="s">
        <v>267</v>
      </c>
      <c r="AD704" s="52">
        <v>4.0</v>
      </c>
      <c r="AF704" s="22" t="s">
        <v>91</v>
      </c>
      <c r="AG704" s="52">
        <v>1.0</v>
      </c>
    </row>
    <row r="705" ht="14.25" customHeight="1">
      <c r="A705" s="77" t="s">
        <v>263</v>
      </c>
      <c r="B705" s="78"/>
      <c r="C705" s="82">
        <v>2.0</v>
      </c>
      <c r="D705" s="103" t="s">
        <v>20</v>
      </c>
      <c r="E705" s="104"/>
      <c r="F705" s="105">
        <v>2.0</v>
      </c>
      <c r="H705" s="77" t="s">
        <v>263</v>
      </c>
      <c r="I705" s="78">
        <v>4.0</v>
      </c>
      <c r="J705" s="190">
        <v>1.0</v>
      </c>
      <c r="K705" s="103" t="s">
        <v>17</v>
      </c>
      <c r="L705" s="104"/>
      <c r="M705" s="105"/>
      <c r="O705" s="77" t="s">
        <v>166</v>
      </c>
      <c r="P705" s="78">
        <v>1.0</v>
      </c>
      <c r="Q705" s="190">
        <v>1.0</v>
      </c>
      <c r="R705" s="103" t="s">
        <v>13</v>
      </c>
      <c r="S705" s="104"/>
      <c r="T705" s="105"/>
      <c r="V705" s="77" t="s">
        <v>13</v>
      </c>
      <c r="W705" s="78"/>
      <c r="X705" s="82"/>
      <c r="Y705" s="103" t="s">
        <v>18</v>
      </c>
      <c r="Z705" s="104"/>
      <c r="AA705" s="105"/>
      <c r="AC705" s="22" t="s">
        <v>266</v>
      </c>
      <c r="AD705" s="52">
        <v>3.0</v>
      </c>
      <c r="AF705" s="22" t="s">
        <v>38</v>
      </c>
      <c r="AG705" s="52">
        <v>1.0</v>
      </c>
    </row>
    <row r="706" ht="14.25" customHeight="1">
      <c r="V706" s="77" t="s">
        <v>114</v>
      </c>
      <c r="W706" s="78">
        <v>1.0</v>
      </c>
      <c r="Y706" s="103" t="s">
        <v>213</v>
      </c>
      <c r="Z706" s="104">
        <v>1.0</v>
      </c>
      <c r="AC706" s="22" t="s">
        <v>49</v>
      </c>
      <c r="AD706" s="52">
        <v>3.0</v>
      </c>
      <c r="AF706" s="22" t="s">
        <v>294</v>
      </c>
      <c r="AG706" s="52">
        <v>1.0</v>
      </c>
    </row>
    <row r="707" ht="14.25" customHeight="1">
      <c r="AC707" s="22"/>
      <c r="AF707" s="181" t="s">
        <v>92</v>
      </c>
      <c r="AG707" s="52">
        <v>1.0</v>
      </c>
    </row>
    <row r="708" ht="14.25" customHeight="1">
      <c r="V708" s="90"/>
      <c r="W708" s="90"/>
      <c r="X708" s="90"/>
      <c r="Y708" s="91"/>
      <c r="Z708" s="91"/>
      <c r="AC708" s="22"/>
    </row>
    <row r="709" ht="14.25" customHeight="1">
      <c r="V709" s="92" t="s">
        <v>3</v>
      </c>
      <c r="W709" s="93"/>
      <c r="X709" s="30"/>
      <c r="Y709" s="50">
        <f>A699+D699+H699+K699+O699+R699+V699+Y699</f>
        <v>54</v>
      </c>
      <c r="Z709" s="30"/>
      <c r="AC709" s="22"/>
    </row>
    <row r="710" ht="14.25" customHeight="1"/>
    <row r="711" ht="14.25" customHeight="1"/>
    <row r="712" ht="14.25" customHeight="1">
      <c r="P712" s="8">
        <v>45017.0</v>
      </c>
      <c r="Q712" s="2"/>
      <c r="R712" s="2"/>
      <c r="S712" s="3"/>
    </row>
    <row r="713" ht="14.25" customHeight="1"/>
    <row r="714" ht="14.25" customHeight="1">
      <c r="A714" s="9">
        <v>31.0</v>
      </c>
      <c r="B714" s="10">
        <v>45020.0</v>
      </c>
      <c r="C714" s="2"/>
      <c r="D714" s="2"/>
      <c r="E714" s="2"/>
      <c r="F714" s="3"/>
      <c r="H714" s="9">
        <v>32.0</v>
      </c>
      <c r="I714" s="10">
        <v>45027.0</v>
      </c>
      <c r="J714" s="2"/>
      <c r="K714" s="2"/>
      <c r="L714" s="2"/>
      <c r="M714" s="3"/>
      <c r="O714" s="9">
        <v>33.0</v>
      </c>
      <c r="P714" s="10">
        <v>45034.0</v>
      </c>
      <c r="Q714" s="2"/>
      <c r="R714" s="2"/>
      <c r="S714" s="2"/>
      <c r="T714" s="3"/>
      <c r="V714" s="9">
        <v>34.0</v>
      </c>
      <c r="W714" s="10">
        <v>45041.0</v>
      </c>
      <c r="X714" s="2"/>
      <c r="Y714" s="2"/>
      <c r="Z714" s="2"/>
      <c r="AA714" s="3"/>
      <c r="AC714" s="51" t="s">
        <v>295</v>
      </c>
      <c r="AD714" s="2"/>
      <c r="AE714" s="2"/>
      <c r="AF714" s="2"/>
      <c r="AG714" s="3"/>
    </row>
    <row r="715" ht="14.25" customHeight="1">
      <c r="A715" s="14">
        <v>6.0</v>
      </c>
      <c r="B715" s="2"/>
      <c r="C715" s="3"/>
      <c r="D715" s="39">
        <v>3.0</v>
      </c>
      <c r="E715" s="2"/>
      <c r="F715" s="3"/>
      <c r="H715" s="14">
        <v>7.0</v>
      </c>
      <c r="I715" s="2"/>
      <c r="J715" s="3"/>
      <c r="K715" s="39">
        <v>4.0</v>
      </c>
      <c r="L715" s="2"/>
      <c r="M715" s="3"/>
      <c r="O715" s="14">
        <v>5.0</v>
      </c>
      <c r="P715" s="2"/>
      <c r="Q715" s="3"/>
      <c r="R715" s="39">
        <v>6.0</v>
      </c>
      <c r="S715" s="2"/>
      <c r="T715" s="3"/>
      <c r="V715" s="14">
        <v>3.0</v>
      </c>
      <c r="W715" s="2"/>
      <c r="X715" s="3"/>
      <c r="Y715" s="39">
        <v>3.0</v>
      </c>
      <c r="Z715" s="2"/>
      <c r="AA715" s="3"/>
    </row>
    <row r="716" ht="12.0" customHeight="1">
      <c r="A716" s="60"/>
      <c r="B716" s="61" t="s">
        <v>69</v>
      </c>
      <c r="C716" s="62" t="s">
        <v>70</v>
      </c>
      <c r="D716" s="94"/>
      <c r="E716" s="95" t="s">
        <v>69</v>
      </c>
      <c r="F716" s="96" t="s">
        <v>70</v>
      </c>
      <c r="H716" s="66"/>
      <c r="I716" s="61" t="s">
        <v>69</v>
      </c>
      <c r="J716" s="61" t="s">
        <v>70</v>
      </c>
      <c r="K716" s="94"/>
      <c r="L716" s="95" t="s">
        <v>69</v>
      </c>
      <c r="M716" s="96" t="s">
        <v>70</v>
      </c>
      <c r="O716" s="66"/>
      <c r="P716" s="61" t="s">
        <v>69</v>
      </c>
      <c r="Q716" s="62" t="s">
        <v>70</v>
      </c>
      <c r="R716" s="94"/>
      <c r="S716" s="95" t="s">
        <v>69</v>
      </c>
      <c r="T716" s="96" t="s">
        <v>70</v>
      </c>
      <c r="V716" s="66"/>
      <c r="W716" s="61" t="s">
        <v>69</v>
      </c>
      <c r="X716" s="62" t="s">
        <v>70</v>
      </c>
      <c r="Y716" s="94"/>
      <c r="Z716" s="95" t="s">
        <v>69</v>
      </c>
      <c r="AA716" s="96" t="s">
        <v>70</v>
      </c>
      <c r="AC716" s="22" t="s">
        <v>49</v>
      </c>
      <c r="AD716" s="52">
        <v>6.0</v>
      </c>
      <c r="AF716" s="22" t="s">
        <v>203</v>
      </c>
      <c r="AG716" s="52">
        <v>2.0</v>
      </c>
    </row>
    <row r="717" ht="14.25" customHeight="1">
      <c r="A717" s="67" t="s">
        <v>296</v>
      </c>
      <c r="B717" s="68">
        <v>1.0</v>
      </c>
      <c r="C717" s="69">
        <v>2.0</v>
      </c>
      <c r="D717" s="97" t="s">
        <v>10</v>
      </c>
      <c r="E717" s="98">
        <v>1.0</v>
      </c>
      <c r="F717" s="99">
        <v>1.0</v>
      </c>
      <c r="H717" s="67" t="s">
        <v>10</v>
      </c>
      <c r="I717" s="68">
        <v>1.0</v>
      </c>
      <c r="J717" s="191">
        <v>1.0</v>
      </c>
      <c r="K717" s="97" t="s">
        <v>296</v>
      </c>
      <c r="L717" s="98"/>
      <c r="M717" s="99"/>
      <c r="O717" s="67" t="s">
        <v>263</v>
      </c>
      <c r="P717" s="68">
        <v>1.0</v>
      </c>
      <c r="Q717" s="69"/>
      <c r="R717" s="97" t="s">
        <v>296</v>
      </c>
      <c r="S717" s="98">
        <v>2.0</v>
      </c>
      <c r="T717" s="99">
        <v>1.0</v>
      </c>
      <c r="V717" s="67" t="s">
        <v>17</v>
      </c>
      <c r="W717" s="68">
        <v>2.0</v>
      </c>
      <c r="X717" s="69"/>
      <c r="Y717" s="97" t="s">
        <v>10</v>
      </c>
      <c r="Z717" s="98"/>
      <c r="AA717" s="99">
        <v>1.0</v>
      </c>
      <c r="AC717" s="22" t="s">
        <v>29</v>
      </c>
      <c r="AD717" s="52">
        <v>5.0</v>
      </c>
      <c r="AF717" s="22" t="s">
        <v>38</v>
      </c>
      <c r="AG717" s="52">
        <v>2.0</v>
      </c>
    </row>
    <row r="718" ht="14.25" customHeight="1">
      <c r="A718" s="72" t="s">
        <v>278</v>
      </c>
      <c r="B718" s="73">
        <v>2.0</v>
      </c>
      <c r="C718" s="69"/>
      <c r="D718" s="100" t="s">
        <v>7</v>
      </c>
      <c r="E718" s="101">
        <v>1.0</v>
      </c>
      <c r="F718" s="102">
        <v>1.0</v>
      </c>
      <c r="H718" s="72" t="s">
        <v>278</v>
      </c>
      <c r="I718" s="73">
        <v>1.0</v>
      </c>
      <c r="J718" s="191">
        <v>1.0</v>
      </c>
      <c r="K718" s="100" t="s">
        <v>166</v>
      </c>
      <c r="L718" s="101">
        <v>2.0</v>
      </c>
      <c r="M718" s="102"/>
      <c r="O718" s="72" t="s">
        <v>4</v>
      </c>
      <c r="P718" s="73">
        <v>3.0</v>
      </c>
      <c r="Q718" s="69"/>
      <c r="R718" s="100" t="s">
        <v>278</v>
      </c>
      <c r="S718" s="101"/>
      <c r="T718" s="102">
        <v>2.0</v>
      </c>
      <c r="V718" s="72" t="s">
        <v>278</v>
      </c>
      <c r="W718" s="73">
        <v>1.0</v>
      </c>
      <c r="X718" s="69"/>
      <c r="Y718" s="100" t="s">
        <v>4</v>
      </c>
      <c r="Z718" s="101">
        <v>3.0</v>
      </c>
      <c r="AA718" s="102"/>
      <c r="AC718" s="22" t="s">
        <v>277</v>
      </c>
      <c r="AD718" s="52">
        <v>4.0</v>
      </c>
      <c r="AF718" s="22" t="s">
        <v>82</v>
      </c>
      <c r="AG718" s="52">
        <v>2.0</v>
      </c>
    </row>
    <row r="719" ht="14.25" customHeight="1">
      <c r="A719" s="72" t="s">
        <v>20</v>
      </c>
      <c r="B719" s="73">
        <v>2.0</v>
      </c>
      <c r="C719" s="69"/>
      <c r="D719" s="100" t="s">
        <v>11</v>
      </c>
      <c r="E719" s="101"/>
      <c r="F719" s="102"/>
      <c r="H719" s="72" t="s">
        <v>20</v>
      </c>
      <c r="I719" s="73"/>
      <c r="J719" s="191">
        <v>1.0</v>
      </c>
      <c r="K719" s="100" t="s">
        <v>18</v>
      </c>
      <c r="L719" s="101">
        <v>1.0</v>
      </c>
      <c r="M719" s="102">
        <v>2.0</v>
      </c>
      <c r="O719" s="72" t="s">
        <v>18</v>
      </c>
      <c r="P719" s="73"/>
      <c r="Q719" s="69">
        <v>1.0</v>
      </c>
      <c r="R719" s="100" t="s">
        <v>11</v>
      </c>
      <c r="S719" s="101">
        <v>2.0</v>
      </c>
      <c r="T719" s="102"/>
      <c r="V719" s="72" t="s">
        <v>296</v>
      </c>
      <c r="W719" s="73"/>
      <c r="X719" s="69">
        <v>1.0</v>
      </c>
      <c r="Y719" s="100" t="s">
        <v>5</v>
      </c>
      <c r="Z719" s="101"/>
      <c r="AA719" s="102">
        <v>1.0</v>
      </c>
      <c r="AC719" s="22" t="s">
        <v>8</v>
      </c>
      <c r="AD719" s="52">
        <v>3.0</v>
      </c>
      <c r="AF719" s="22" t="s">
        <v>267</v>
      </c>
      <c r="AG719" s="52">
        <v>1.0</v>
      </c>
    </row>
    <row r="720" ht="14.25" customHeight="1">
      <c r="A720" s="72" t="s">
        <v>18</v>
      </c>
      <c r="B720" s="73"/>
      <c r="C720" s="69"/>
      <c r="D720" s="100" t="s">
        <v>263</v>
      </c>
      <c r="E720" s="101"/>
      <c r="F720" s="102">
        <v>1.0</v>
      </c>
      <c r="H720" s="72" t="s">
        <v>5</v>
      </c>
      <c r="I720" s="73">
        <v>1.0</v>
      </c>
      <c r="J720" s="191">
        <v>2.0</v>
      </c>
      <c r="K720" s="100" t="s">
        <v>11</v>
      </c>
      <c r="L720" s="101">
        <v>1.0</v>
      </c>
      <c r="M720" s="102"/>
      <c r="O720" s="72" t="s">
        <v>10</v>
      </c>
      <c r="P720" s="73"/>
      <c r="Q720" s="69">
        <v>1.0</v>
      </c>
      <c r="R720" s="100" t="s">
        <v>7</v>
      </c>
      <c r="S720" s="101">
        <v>1.0</v>
      </c>
      <c r="T720" s="102">
        <v>1.0</v>
      </c>
      <c r="V720" s="72" t="s">
        <v>6</v>
      </c>
      <c r="W720" s="73"/>
      <c r="X720" s="69"/>
      <c r="Y720" s="100" t="s">
        <v>166</v>
      </c>
      <c r="Z720" s="101"/>
      <c r="AA720" s="102"/>
      <c r="AC720" s="22" t="s">
        <v>41</v>
      </c>
      <c r="AD720" s="52">
        <v>3.0</v>
      </c>
      <c r="AF720" s="22" t="s">
        <v>91</v>
      </c>
      <c r="AG720" s="52">
        <v>1.0</v>
      </c>
    </row>
    <row r="721" ht="14.25" customHeight="1">
      <c r="A721" s="77" t="s">
        <v>17</v>
      </c>
      <c r="B721" s="78">
        <v>1.0</v>
      </c>
      <c r="C721" s="82">
        <v>1.0</v>
      </c>
      <c r="D721" s="103" t="s">
        <v>5</v>
      </c>
      <c r="E721" s="104">
        <v>1.0</v>
      </c>
      <c r="F721" s="105"/>
      <c r="H721" s="77" t="s">
        <v>7</v>
      </c>
      <c r="I721" s="78">
        <v>3.0</v>
      </c>
      <c r="J721" s="190"/>
      <c r="K721" s="103" t="s">
        <v>17</v>
      </c>
      <c r="L721" s="104"/>
      <c r="M721" s="105"/>
      <c r="O721" s="77" t="s">
        <v>17</v>
      </c>
      <c r="P721" s="78"/>
      <c r="Q721" s="190"/>
      <c r="R721" s="103" t="s">
        <v>5</v>
      </c>
      <c r="S721" s="104">
        <v>1.0</v>
      </c>
      <c r="T721" s="105">
        <v>1.0</v>
      </c>
      <c r="V721" s="77" t="s">
        <v>7</v>
      </c>
      <c r="W721" s="78"/>
      <c r="X721" s="82">
        <v>1.0</v>
      </c>
      <c r="Y721" s="103" t="s">
        <v>18</v>
      </c>
      <c r="Z721" s="104"/>
      <c r="AA721" s="105"/>
      <c r="AC721" s="22" t="s">
        <v>297</v>
      </c>
      <c r="AD721" s="52">
        <v>3.0</v>
      </c>
      <c r="AF721" s="22"/>
    </row>
    <row r="722" ht="14.25" customHeight="1">
      <c r="H722" s="77" t="s">
        <v>274</v>
      </c>
      <c r="I722" s="78">
        <v>1.0</v>
      </c>
      <c r="O722" s="77" t="s">
        <v>274</v>
      </c>
      <c r="P722" s="78">
        <v>1.0</v>
      </c>
      <c r="Y722" s="59"/>
      <c r="Z722" s="59"/>
      <c r="AC722" s="22" t="s">
        <v>61</v>
      </c>
      <c r="AD722" s="52">
        <v>3.0</v>
      </c>
      <c r="AF722" s="22" t="s">
        <v>273</v>
      </c>
      <c r="AG722" s="52">
        <v>2.0</v>
      </c>
    </row>
    <row r="723" ht="14.25" customHeight="1">
      <c r="V723" s="90"/>
      <c r="W723" s="90"/>
      <c r="X723" s="90"/>
      <c r="Y723" s="90"/>
      <c r="Z723" s="90"/>
      <c r="AC723" s="22"/>
    </row>
    <row r="724" ht="14.25" customHeight="1">
      <c r="V724" s="92" t="s">
        <v>3</v>
      </c>
      <c r="W724" s="93"/>
      <c r="X724" s="30"/>
      <c r="Y724" s="50">
        <f>A715+D715+H715+K715+O715+R715+V715+Y715</f>
        <v>37</v>
      </c>
      <c r="Z724" s="30"/>
      <c r="AC724" s="22"/>
    </row>
    <row r="725" ht="14.25" customHeight="1"/>
    <row r="726" ht="14.25" customHeight="1"/>
    <row r="727" ht="14.25" customHeight="1">
      <c r="P727" s="8">
        <v>45047.0</v>
      </c>
      <c r="Q727" s="2"/>
      <c r="R727" s="2"/>
      <c r="S727" s="3"/>
    </row>
    <row r="728" ht="14.25" customHeight="1"/>
    <row r="729" ht="14.25" customHeight="1">
      <c r="A729" s="9">
        <v>35.0</v>
      </c>
      <c r="B729" s="10">
        <v>45048.0</v>
      </c>
      <c r="C729" s="2"/>
      <c r="D729" s="2"/>
      <c r="E729" s="2"/>
      <c r="F729" s="3"/>
      <c r="H729" s="9">
        <v>36.0</v>
      </c>
      <c r="I729" s="10">
        <v>45055.0</v>
      </c>
      <c r="J729" s="2"/>
      <c r="K729" s="2"/>
      <c r="L729" s="2"/>
      <c r="M729" s="3"/>
      <c r="O729" s="9">
        <v>37.0</v>
      </c>
      <c r="P729" s="10">
        <v>45064.0</v>
      </c>
      <c r="Q729" s="2"/>
      <c r="R729" s="2"/>
      <c r="S729" s="2"/>
      <c r="T729" s="3"/>
      <c r="V729" s="9">
        <v>38.0</v>
      </c>
      <c r="W729" s="10">
        <v>45069.0</v>
      </c>
      <c r="X729" s="2"/>
      <c r="Y729" s="2"/>
      <c r="Z729" s="2"/>
      <c r="AA729" s="3"/>
      <c r="AC729" s="9">
        <v>39.0</v>
      </c>
      <c r="AD729" s="10">
        <v>45076.0</v>
      </c>
      <c r="AE729" s="2"/>
      <c r="AF729" s="2"/>
      <c r="AG729" s="2"/>
      <c r="AH729" s="3"/>
    </row>
    <row r="730" ht="14.25" customHeight="1">
      <c r="A730" s="14">
        <v>2.0</v>
      </c>
      <c r="B730" s="2"/>
      <c r="C730" s="3"/>
      <c r="D730" s="39">
        <v>4.0</v>
      </c>
      <c r="E730" s="2"/>
      <c r="F730" s="3"/>
      <c r="H730" s="14">
        <v>3.0</v>
      </c>
      <c r="I730" s="2"/>
      <c r="J730" s="3"/>
      <c r="K730" s="39">
        <v>7.0</v>
      </c>
      <c r="L730" s="2"/>
      <c r="M730" s="3"/>
      <c r="O730" s="14">
        <v>3.0</v>
      </c>
      <c r="P730" s="2"/>
      <c r="Q730" s="3"/>
      <c r="R730" s="39">
        <v>2.0</v>
      </c>
      <c r="S730" s="2"/>
      <c r="T730" s="3"/>
      <c r="V730" s="14">
        <v>3.0</v>
      </c>
      <c r="W730" s="2"/>
      <c r="X730" s="3"/>
      <c r="Y730" s="39">
        <v>7.0</v>
      </c>
      <c r="Z730" s="2"/>
      <c r="AA730" s="3"/>
      <c r="AC730" s="14">
        <v>3.0</v>
      </c>
      <c r="AD730" s="2"/>
      <c r="AE730" s="3"/>
      <c r="AF730" s="39">
        <v>4.0</v>
      </c>
      <c r="AG730" s="2"/>
      <c r="AH730" s="3"/>
    </row>
    <row r="731" ht="12.0" customHeight="1">
      <c r="A731" s="66"/>
      <c r="B731" s="61" t="s">
        <v>69</v>
      </c>
      <c r="C731" s="62" t="s">
        <v>70</v>
      </c>
      <c r="D731" s="94"/>
      <c r="E731" s="95" t="s">
        <v>69</v>
      </c>
      <c r="F731" s="96" t="s">
        <v>70</v>
      </c>
      <c r="H731" s="66"/>
      <c r="I731" s="61" t="s">
        <v>69</v>
      </c>
      <c r="J731" s="62" t="s">
        <v>70</v>
      </c>
      <c r="K731" s="94"/>
      <c r="L731" s="95" t="s">
        <v>69</v>
      </c>
      <c r="M731" s="96" t="s">
        <v>70</v>
      </c>
      <c r="O731" s="66"/>
      <c r="P731" s="61" t="s">
        <v>69</v>
      </c>
      <c r="Q731" s="62" t="s">
        <v>70</v>
      </c>
      <c r="R731" s="94"/>
      <c r="S731" s="95" t="s">
        <v>69</v>
      </c>
      <c r="T731" s="96" t="s">
        <v>70</v>
      </c>
      <c r="V731" s="66"/>
      <c r="W731" s="61" t="s">
        <v>69</v>
      </c>
      <c r="X731" s="62" t="s">
        <v>70</v>
      </c>
      <c r="Y731" s="94"/>
      <c r="Z731" s="95" t="s">
        <v>69</v>
      </c>
      <c r="AA731" s="96" t="s">
        <v>70</v>
      </c>
      <c r="AC731" s="66"/>
      <c r="AD731" s="61" t="s">
        <v>69</v>
      </c>
      <c r="AE731" s="62" t="s">
        <v>70</v>
      </c>
      <c r="AF731" s="94"/>
      <c r="AG731" s="95" t="s">
        <v>69</v>
      </c>
      <c r="AH731" s="96" t="s">
        <v>70</v>
      </c>
    </row>
    <row r="732" ht="14.25" customHeight="1">
      <c r="A732" s="67" t="s">
        <v>10</v>
      </c>
      <c r="B732" s="68"/>
      <c r="C732" s="69"/>
      <c r="D732" s="97" t="s">
        <v>18</v>
      </c>
      <c r="E732" s="98"/>
      <c r="F732" s="99"/>
      <c r="H732" s="67" t="s">
        <v>278</v>
      </c>
      <c r="I732" s="68">
        <v>2.0</v>
      </c>
      <c r="J732" s="69"/>
      <c r="K732" s="97" t="s">
        <v>10</v>
      </c>
      <c r="L732" s="98"/>
      <c r="M732" s="99">
        <v>1.0</v>
      </c>
      <c r="O732" s="67" t="s">
        <v>10</v>
      </c>
      <c r="P732" s="68">
        <v>1.0</v>
      </c>
      <c r="Q732" s="69"/>
      <c r="R732" s="97" t="s">
        <v>18</v>
      </c>
      <c r="S732" s="98"/>
      <c r="T732" s="99"/>
      <c r="V732" s="67" t="s">
        <v>10</v>
      </c>
      <c r="W732" s="68"/>
      <c r="X732" s="69"/>
      <c r="Y732" s="97" t="s">
        <v>278</v>
      </c>
      <c r="Z732" s="98">
        <v>3.0</v>
      </c>
      <c r="AA732" s="99">
        <v>1.0</v>
      </c>
      <c r="AC732" s="67" t="s">
        <v>296</v>
      </c>
      <c r="AD732" s="68"/>
      <c r="AE732" s="69">
        <v>1.0</v>
      </c>
      <c r="AF732" s="97" t="s">
        <v>10</v>
      </c>
      <c r="AG732" s="98">
        <v>1.0</v>
      </c>
      <c r="AH732" s="99"/>
    </row>
    <row r="733" ht="14.25" customHeight="1">
      <c r="A733" s="72" t="s">
        <v>7</v>
      </c>
      <c r="B733" s="73"/>
      <c r="C733" s="69"/>
      <c r="D733" s="100" t="s">
        <v>4</v>
      </c>
      <c r="E733" s="101">
        <v>2.0</v>
      </c>
      <c r="F733" s="102">
        <v>1.0</v>
      </c>
      <c r="H733" s="72" t="s">
        <v>7</v>
      </c>
      <c r="I733" s="73"/>
      <c r="J733" s="69">
        <v>1.0</v>
      </c>
      <c r="K733" s="100" t="s">
        <v>11</v>
      </c>
      <c r="L733" s="101"/>
      <c r="M733" s="102"/>
      <c r="O733" s="72" t="s">
        <v>6</v>
      </c>
      <c r="P733" s="73"/>
      <c r="Q733" s="69"/>
      <c r="R733" s="100" t="s">
        <v>5</v>
      </c>
      <c r="S733" s="101">
        <v>1.0</v>
      </c>
      <c r="T733" s="102">
        <v>1.0</v>
      </c>
      <c r="V733" s="72" t="s">
        <v>6</v>
      </c>
      <c r="W733" s="73">
        <v>1.0</v>
      </c>
      <c r="X733" s="69"/>
      <c r="Y733" s="100" t="s">
        <v>20</v>
      </c>
      <c r="Z733" s="101">
        <v>2.0</v>
      </c>
      <c r="AA733" s="102">
        <v>1.0</v>
      </c>
      <c r="AC733" s="72" t="s">
        <v>166</v>
      </c>
      <c r="AD733" s="73"/>
      <c r="AE733" s="69">
        <v>1.0</v>
      </c>
      <c r="AF733" s="100" t="s">
        <v>20</v>
      </c>
      <c r="AG733" s="101">
        <v>1.0</v>
      </c>
      <c r="AH733" s="102">
        <v>2.0</v>
      </c>
    </row>
    <row r="734" ht="14.25" customHeight="1">
      <c r="A734" s="72" t="s">
        <v>296</v>
      </c>
      <c r="B734" s="73"/>
      <c r="C734" s="69">
        <v>2.0</v>
      </c>
      <c r="D734" s="100" t="s">
        <v>278</v>
      </c>
      <c r="E734" s="101">
        <v>2.0</v>
      </c>
      <c r="F734" s="102"/>
      <c r="H734" s="72" t="s">
        <v>20</v>
      </c>
      <c r="I734" s="73"/>
      <c r="J734" s="69">
        <v>1.0</v>
      </c>
      <c r="K734" s="100" t="s">
        <v>5</v>
      </c>
      <c r="L734" s="101">
        <v>2.0</v>
      </c>
      <c r="M734" s="102">
        <v>3.0</v>
      </c>
      <c r="O734" s="72" t="s">
        <v>4</v>
      </c>
      <c r="P734" s="73"/>
      <c r="Q734" s="69"/>
      <c r="R734" s="100" t="s">
        <v>7</v>
      </c>
      <c r="S734" s="101"/>
      <c r="T734" s="102"/>
      <c r="V734" s="72" t="s">
        <v>298</v>
      </c>
      <c r="W734" s="73">
        <v>1.0</v>
      </c>
      <c r="X734" s="69">
        <v>1.0</v>
      </c>
      <c r="Y734" s="100" t="s">
        <v>18</v>
      </c>
      <c r="Z734" s="101">
        <v>1.0</v>
      </c>
      <c r="AA734" s="102"/>
      <c r="AC734" s="72" t="s">
        <v>17</v>
      </c>
      <c r="AD734" s="73">
        <v>1.0</v>
      </c>
      <c r="AE734" s="69"/>
      <c r="AF734" s="100" t="s">
        <v>278</v>
      </c>
      <c r="AG734" s="101">
        <v>2.0</v>
      </c>
      <c r="AH734" s="102"/>
    </row>
    <row r="735" ht="14.25" customHeight="1">
      <c r="A735" s="72" t="s">
        <v>5</v>
      </c>
      <c r="B735" s="73">
        <v>2.0</v>
      </c>
      <c r="C735" s="69"/>
      <c r="D735" s="100" t="s">
        <v>20</v>
      </c>
      <c r="E735" s="101"/>
      <c r="F735" s="102"/>
      <c r="H735" s="72" t="s">
        <v>18</v>
      </c>
      <c r="I735" s="73"/>
      <c r="J735" s="69"/>
      <c r="K735" s="100" t="s">
        <v>4</v>
      </c>
      <c r="L735" s="101">
        <v>5.0</v>
      </c>
      <c r="M735" s="102"/>
      <c r="O735" s="72" t="s">
        <v>296</v>
      </c>
      <c r="P735" s="73"/>
      <c r="Q735" s="69"/>
      <c r="R735" s="100" t="s">
        <v>263</v>
      </c>
      <c r="S735" s="101"/>
      <c r="T735" s="102"/>
      <c r="V735" s="72" t="s">
        <v>263</v>
      </c>
      <c r="W735" s="73"/>
      <c r="X735" s="69"/>
      <c r="Y735" s="100" t="s">
        <v>296</v>
      </c>
      <c r="Z735" s="101">
        <v>1.0</v>
      </c>
      <c r="AA735" s="102">
        <v>4.0</v>
      </c>
      <c r="AC735" s="72" t="s">
        <v>263</v>
      </c>
      <c r="AD735" s="73">
        <v>1.0</v>
      </c>
      <c r="AE735" s="69"/>
      <c r="AF735" s="100" t="s">
        <v>5</v>
      </c>
      <c r="AG735" s="101"/>
      <c r="AH735" s="102"/>
    </row>
    <row r="736" ht="14.25" customHeight="1">
      <c r="A736" s="77" t="s">
        <v>17</v>
      </c>
      <c r="B736" s="78"/>
      <c r="C736" s="82"/>
      <c r="D736" s="103" t="s">
        <v>166</v>
      </c>
      <c r="E736" s="104"/>
      <c r="F736" s="105"/>
      <c r="H736" s="77" t="s">
        <v>263</v>
      </c>
      <c r="I736" s="78">
        <v>1.0</v>
      </c>
      <c r="J736" s="82">
        <v>1.0</v>
      </c>
      <c r="K736" s="103" t="s">
        <v>166</v>
      </c>
      <c r="L736" s="104"/>
      <c r="M736" s="105">
        <v>1.0</v>
      </c>
      <c r="O736" s="77" t="s">
        <v>20</v>
      </c>
      <c r="P736" s="78">
        <v>1.0</v>
      </c>
      <c r="Q736" s="82"/>
      <c r="R736" s="103" t="s">
        <v>278</v>
      </c>
      <c r="S736" s="104">
        <v>1.0</v>
      </c>
      <c r="T736" s="105"/>
      <c r="V736" s="77" t="s">
        <v>166</v>
      </c>
      <c r="W736" s="78"/>
      <c r="X736" s="82">
        <v>1.0</v>
      </c>
      <c r="Y736" s="103" t="s">
        <v>17</v>
      </c>
      <c r="Z736" s="104"/>
      <c r="AA736" s="105"/>
      <c r="AC736" s="77" t="s">
        <v>18</v>
      </c>
      <c r="AD736" s="78">
        <v>1.0</v>
      </c>
      <c r="AE736" s="82"/>
      <c r="AF736" s="103" t="s">
        <v>9</v>
      </c>
      <c r="AG736" s="104"/>
      <c r="AH736" s="105"/>
    </row>
    <row r="737" ht="14.25" customHeight="1">
      <c r="O737" s="77" t="s">
        <v>114</v>
      </c>
      <c r="P737" s="78">
        <v>1.0</v>
      </c>
      <c r="V737" s="77" t="s">
        <v>281</v>
      </c>
      <c r="W737" s="78">
        <v>1.0</v>
      </c>
    </row>
    <row r="738" ht="14.25" customHeight="1"/>
    <row r="739" ht="14.25" customHeight="1">
      <c r="V739" s="90"/>
      <c r="W739" s="90"/>
      <c r="X739" s="90"/>
      <c r="Y739" s="90"/>
      <c r="Z739" s="90"/>
    </row>
    <row r="740" ht="14.25" customHeight="1">
      <c r="A740" s="146"/>
      <c r="B740" s="146"/>
      <c r="C740" s="146"/>
      <c r="D740" s="51" t="s">
        <v>299</v>
      </c>
      <c r="E740" s="2"/>
      <c r="F740" s="2"/>
      <c r="G740" s="2"/>
      <c r="H740" s="3"/>
      <c r="O740" s="135"/>
      <c r="V740" s="55" t="s">
        <v>3</v>
      </c>
      <c r="W740" s="2"/>
      <c r="X740" s="3"/>
      <c r="Y740" s="56">
        <f>A730+D730+H730+K730+O730+R730+V730+Y730+AC730+AF730</f>
        <v>38</v>
      </c>
      <c r="Z740" s="3"/>
    </row>
    <row r="741" ht="14.25" customHeight="1"/>
    <row r="742" ht="14.25" customHeight="1">
      <c r="D742" s="52" t="s">
        <v>277</v>
      </c>
      <c r="E742" s="52">
        <v>10.0</v>
      </c>
      <c r="H742" s="52" t="s">
        <v>267</v>
      </c>
      <c r="I742" s="52">
        <v>2.0</v>
      </c>
    </row>
    <row r="743" ht="14.25" customHeight="1">
      <c r="D743" s="52" t="s">
        <v>49</v>
      </c>
      <c r="E743" s="52">
        <v>7.0</v>
      </c>
      <c r="H743" s="52" t="s">
        <v>257</v>
      </c>
      <c r="I743" s="52">
        <v>1.0</v>
      </c>
    </row>
    <row r="744" ht="14.25" customHeight="1">
      <c r="D744" s="52" t="s">
        <v>8</v>
      </c>
      <c r="E744" s="52">
        <v>6.0</v>
      </c>
      <c r="H744" s="52" t="s">
        <v>297</v>
      </c>
      <c r="I744" s="52">
        <v>1.0</v>
      </c>
    </row>
    <row r="745" ht="14.25" customHeight="1">
      <c r="D745" s="52" t="s">
        <v>38</v>
      </c>
      <c r="E745" s="52">
        <v>4.0</v>
      </c>
      <c r="H745" s="52" t="s">
        <v>61</v>
      </c>
      <c r="I745" s="52">
        <v>1.0</v>
      </c>
    </row>
    <row r="746" ht="14.25" customHeight="1">
      <c r="D746" s="52" t="s">
        <v>91</v>
      </c>
      <c r="E746" s="52">
        <v>2.0</v>
      </c>
      <c r="H746" s="52" t="s">
        <v>114</v>
      </c>
      <c r="I746" s="52">
        <v>1.0</v>
      </c>
    </row>
    <row r="747" ht="14.25" customHeight="1">
      <c r="D747" s="52" t="s">
        <v>82</v>
      </c>
      <c r="E747" s="52">
        <v>2.0</v>
      </c>
      <c r="H747" s="52" t="s">
        <v>281</v>
      </c>
      <c r="I747" s="52">
        <v>1.0</v>
      </c>
    </row>
    <row r="748" ht="14.25" customHeight="1"/>
    <row r="749" ht="14.25" customHeight="1">
      <c r="P749" s="8">
        <v>45078.0</v>
      </c>
      <c r="Q749" s="2"/>
      <c r="R749" s="2"/>
      <c r="S749" s="3"/>
    </row>
    <row r="750" ht="14.25" customHeight="1"/>
    <row r="751" ht="14.25" customHeight="1">
      <c r="A751" s="9">
        <v>40.0</v>
      </c>
      <c r="B751" s="10">
        <v>45083.0</v>
      </c>
      <c r="C751" s="2"/>
      <c r="D751" s="2"/>
      <c r="E751" s="2"/>
      <c r="F751" s="3"/>
      <c r="H751" s="9">
        <v>41.0</v>
      </c>
      <c r="I751" s="10">
        <v>45090.0</v>
      </c>
      <c r="J751" s="2"/>
      <c r="K751" s="2"/>
      <c r="L751" s="2"/>
      <c r="M751" s="3"/>
      <c r="O751" s="9">
        <v>42.0</v>
      </c>
      <c r="P751" s="10">
        <v>45097.0</v>
      </c>
      <c r="Q751" s="2"/>
      <c r="R751" s="2"/>
      <c r="S751" s="2"/>
      <c r="T751" s="3"/>
      <c r="V751" s="9">
        <v>43.0</v>
      </c>
      <c r="W751" s="10">
        <v>45104.0</v>
      </c>
      <c r="X751" s="2"/>
      <c r="Y751" s="2"/>
      <c r="Z751" s="2"/>
      <c r="AA751" s="3"/>
      <c r="AC751" s="51" t="s">
        <v>300</v>
      </c>
      <c r="AD751" s="2"/>
      <c r="AE751" s="2"/>
      <c r="AF751" s="2"/>
      <c r="AG751" s="3"/>
    </row>
    <row r="752" ht="14.25" customHeight="1">
      <c r="A752" s="14">
        <v>2.0</v>
      </c>
      <c r="B752" s="2"/>
      <c r="C752" s="3"/>
      <c r="D752" s="39">
        <v>4.0</v>
      </c>
      <c r="E752" s="2"/>
      <c r="F752" s="3"/>
      <c r="H752" s="14">
        <v>5.0</v>
      </c>
      <c r="I752" s="2"/>
      <c r="J752" s="3"/>
      <c r="K752" s="39">
        <v>4.0</v>
      </c>
      <c r="L752" s="2"/>
      <c r="M752" s="3"/>
      <c r="O752" s="14">
        <v>5.0</v>
      </c>
      <c r="P752" s="2"/>
      <c r="Q752" s="3"/>
      <c r="R752" s="39">
        <v>4.0</v>
      </c>
      <c r="S752" s="2"/>
      <c r="T752" s="3"/>
      <c r="V752" s="14">
        <v>5.0</v>
      </c>
      <c r="W752" s="2"/>
      <c r="X752" s="3"/>
      <c r="Y752" s="39">
        <v>10.0</v>
      </c>
      <c r="Z752" s="2"/>
      <c r="AA752" s="3"/>
    </row>
    <row r="753" ht="12.0" customHeight="1">
      <c r="A753" s="60"/>
      <c r="B753" s="61" t="s">
        <v>69</v>
      </c>
      <c r="C753" s="62" t="s">
        <v>70</v>
      </c>
      <c r="D753" s="94"/>
      <c r="E753" s="95" t="s">
        <v>69</v>
      </c>
      <c r="F753" s="96" t="s">
        <v>70</v>
      </c>
      <c r="H753" s="66"/>
      <c r="I753" s="61" t="s">
        <v>69</v>
      </c>
      <c r="J753" s="61" t="s">
        <v>70</v>
      </c>
      <c r="K753" s="94"/>
      <c r="L753" s="95" t="s">
        <v>69</v>
      </c>
      <c r="M753" s="96" t="s">
        <v>70</v>
      </c>
      <c r="O753" s="66"/>
      <c r="P753" s="61" t="s">
        <v>69</v>
      </c>
      <c r="Q753" s="62" t="s">
        <v>70</v>
      </c>
      <c r="R753" s="94"/>
      <c r="S753" s="95" t="s">
        <v>69</v>
      </c>
      <c r="T753" s="96" t="s">
        <v>70</v>
      </c>
      <c r="V753" s="66"/>
      <c r="W753" s="61" t="s">
        <v>69</v>
      </c>
      <c r="X753" s="62" t="s">
        <v>70</v>
      </c>
      <c r="Y753" s="94"/>
      <c r="Z753" s="95" t="s">
        <v>69</v>
      </c>
      <c r="AA753" s="96" t="s">
        <v>70</v>
      </c>
      <c r="AC753" s="22" t="s">
        <v>203</v>
      </c>
      <c r="AD753" s="52">
        <v>8.0</v>
      </c>
      <c r="AF753" s="22" t="s">
        <v>84</v>
      </c>
      <c r="AG753" s="52">
        <v>2.0</v>
      </c>
    </row>
    <row r="754" ht="14.25" customHeight="1">
      <c r="A754" s="67" t="s">
        <v>10</v>
      </c>
      <c r="B754" s="68"/>
      <c r="C754" s="69">
        <v>1.0</v>
      </c>
      <c r="D754" s="97" t="s">
        <v>18</v>
      </c>
      <c r="E754" s="98"/>
      <c r="F754" s="99"/>
      <c r="H754" s="67" t="s">
        <v>18</v>
      </c>
      <c r="I754" s="68"/>
      <c r="J754" s="191"/>
      <c r="K754" s="97" t="s">
        <v>10</v>
      </c>
      <c r="L754" s="98"/>
      <c r="M754" s="99">
        <v>2.0</v>
      </c>
      <c r="O754" s="67" t="s">
        <v>10</v>
      </c>
      <c r="P754" s="68">
        <v>1.0</v>
      </c>
      <c r="Q754" s="69">
        <v>2.0</v>
      </c>
      <c r="R754" s="97" t="s">
        <v>166</v>
      </c>
      <c r="S754" s="98">
        <v>2.0</v>
      </c>
      <c r="T754" s="99">
        <v>2.0</v>
      </c>
      <c r="V754" s="67" t="s">
        <v>10</v>
      </c>
      <c r="W754" s="68">
        <v>1.0</v>
      </c>
      <c r="X754" s="69">
        <v>2.0</v>
      </c>
      <c r="Y754" s="97" t="s">
        <v>18</v>
      </c>
      <c r="Z754" s="98">
        <v>1.0</v>
      </c>
      <c r="AA754" s="99"/>
      <c r="AC754" s="22" t="s">
        <v>277</v>
      </c>
      <c r="AD754" s="52">
        <v>8.0</v>
      </c>
      <c r="AF754" s="22" t="s">
        <v>297</v>
      </c>
      <c r="AG754" s="52">
        <v>2.0</v>
      </c>
    </row>
    <row r="755" ht="14.25" customHeight="1">
      <c r="A755" s="72" t="s">
        <v>7</v>
      </c>
      <c r="B755" s="73"/>
      <c r="C755" s="69"/>
      <c r="D755" s="100" t="s">
        <v>263</v>
      </c>
      <c r="E755" s="101">
        <v>1.0</v>
      </c>
      <c r="F755" s="102"/>
      <c r="H755" s="72" t="s">
        <v>263</v>
      </c>
      <c r="I755" s="73">
        <v>1.0</v>
      </c>
      <c r="J755" s="191"/>
      <c r="K755" s="100" t="s">
        <v>7</v>
      </c>
      <c r="L755" s="101"/>
      <c r="M755" s="102">
        <v>2.0</v>
      </c>
      <c r="O755" s="72" t="s">
        <v>18</v>
      </c>
      <c r="P755" s="73"/>
      <c r="Q755" s="69"/>
      <c r="R755" s="100" t="s">
        <v>17</v>
      </c>
      <c r="S755" s="101">
        <v>1.0</v>
      </c>
      <c r="T755" s="102"/>
      <c r="V755" s="72" t="s">
        <v>301</v>
      </c>
      <c r="W755" s="73"/>
      <c r="X755" s="69"/>
      <c r="Y755" s="100" t="s">
        <v>175</v>
      </c>
      <c r="Z755" s="101">
        <v>1.0</v>
      </c>
      <c r="AA755" s="102"/>
      <c r="AC755" s="22" t="s">
        <v>49</v>
      </c>
      <c r="AD755" s="52">
        <v>5.0</v>
      </c>
      <c r="AF755" s="22" t="s">
        <v>82</v>
      </c>
      <c r="AG755" s="52">
        <v>2.0</v>
      </c>
    </row>
    <row r="756" ht="14.25" customHeight="1">
      <c r="A756" s="72" t="s">
        <v>6</v>
      </c>
      <c r="B756" s="73"/>
      <c r="C756" s="69"/>
      <c r="D756" s="100" t="s">
        <v>4</v>
      </c>
      <c r="E756" s="101">
        <v>1.0</v>
      </c>
      <c r="F756" s="102"/>
      <c r="H756" s="72" t="s">
        <v>278</v>
      </c>
      <c r="I756" s="73">
        <v>1.0</v>
      </c>
      <c r="J756" s="191">
        <v>2.0</v>
      </c>
      <c r="K756" s="100" t="s">
        <v>17</v>
      </c>
      <c r="L756" s="101">
        <v>2.0</v>
      </c>
      <c r="M756" s="102"/>
      <c r="O756" s="72" t="s">
        <v>278</v>
      </c>
      <c r="P756" s="73">
        <v>2.0</v>
      </c>
      <c r="Q756" s="69"/>
      <c r="R756" s="100" t="s">
        <v>9</v>
      </c>
      <c r="S756" s="101"/>
      <c r="T756" s="102">
        <v>1.0</v>
      </c>
      <c r="V756" s="72" t="s">
        <v>4</v>
      </c>
      <c r="W756" s="73">
        <v>3.0</v>
      </c>
      <c r="X756" s="69"/>
      <c r="Y756" s="100" t="s">
        <v>166</v>
      </c>
      <c r="Z756" s="101">
        <v>2.0</v>
      </c>
      <c r="AA756" s="102">
        <v>2.0</v>
      </c>
      <c r="AC756" s="22" t="s">
        <v>267</v>
      </c>
      <c r="AD756" s="52">
        <v>4.0</v>
      </c>
      <c r="AF756" s="22" t="s">
        <v>29</v>
      </c>
      <c r="AG756" s="52">
        <v>1.0</v>
      </c>
    </row>
    <row r="757" ht="14.25" customHeight="1">
      <c r="A757" s="72" t="s">
        <v>296</v>
      </c>
      <c r="B757" s="73"/>
      <c r="C757" s="69"/>
      <c r="D757" s="100" t="s">
        <v>166</v>
      </c>
      <c r="E757" s="101">
        <v>2.0</v>
      </c>
      <c r="F757" s="102"/>
      <c r="H757" s="72" t="s">
        <v>302</v>
      </c>
      <c r="I757" s="73">
        <v>2.0</v>
      </c>
      <c r="J757" s="191"/>
      <c r="K757" s="100" t="s">
        <v>296</v>
      </c>
      <c r="L757" s="101">
        <v>1.0</v>
      </c>
      <c r="M757" s="102"/>
      <c r="O757" s="72" t="s">
        <v>7</v>
      </c>
      <c r="P757" s="73">
        <v>1.0</v>
      </c>
      <c r="Q757" s="69">
        <v>2.0</v>
      </c>
      <c r="R757" s="100" t="s">
        <v>263</v>
      </c>
      <c r="S757" s="101">
        <v>1.0</v>
      </c>
      <c r="T757" s="102"/>
      <c r="V757" s="72" t="s">
        <v>263</v>
      </c>
      <c r="W757" s="73">
        <v>1.0</v>
      </c>
      <c r="X757" s="69"/>
      <c r="Y757" s="100" t="s">
        <v>296</v>
      </c>
      <c r="Z757" s="101">
        <v>1.0</v>
      </c>
      <c r="AA757" s="102">
        <v>1.0</v>
      </c>
      <c r="AC757" s="22" t="s">
        <v>61</v>
      </c>
      <c r="AD757" s="52">
        <v>3.0</v>
      </c>
      <c r="AF757" s="22" t="s">
        <v>91</v>
      </c>
      <c r="AG757" s="52">
        <v>1.0</v>
      </c>
    </row>
    <row r="758" ht="14.25" customHeight="1">
      <c r="A758" s="77" t="s">
        <v>57</v>
      </c>
      <c r="B758" s="78">
        <v>2.0</v>
      </c>
      <c r="C758" s="82"/>
      <c r="D758" s="103" t="s">
        <v>278</v>
      </c>
      <c r="E758" s="104"/>
      <c r="F758" s="105">
        <v>2.0</v>
      </c>
      <c r="H758" s="77" t="s">
        <v>4</v>
      </c>
      <c r="I758" s="78">
        <v>1.0</v>
      </c>
      <c r="J758" s="190">
        <v>1.0</v>
      </c>
      <c r="K758" s="103" t="s">
        <v>20</v>
      </c>
      <c r="L758" s="104">
        <v>1.0</v>
      </c>
      <c r="M758" s="105"/>
      <c r="O758" s="77" t="s">
        <v>20</v>
      </c>
      <c r="P758" s="78">
        <v>1.0</v>
      </c>
      <c r="Q758" s="190"/>
      <c r="R758" s="103" t="s">
        <v>153</v>
      </c>
      <c r="S758" s="104"/>
      <c r="T758" s="105"/>
      <c r="V758" s="77" t="s">
        <v>153</v>
      </c>
      <c r="W758" s="78"/>
      <c r="X758" s="82"/>
      <c r="Y758" s="103" t="s">
        <v>278</v>
      </c>
      <c r="Z758" s="104">
        <v>5.0</v>
      </c>
      <c r="AA758" s="105">
        <v>4.0</v>
      </c>
      <c r="AC758" s="22" t="s">
        <v>38</v>
      </c>
      <c r="AD758" s="52">
        <v>2.0</v>
      </c>
      <c r="AF758" s="22" t="s">
        <v>251</v>
      </c>
      <c r="AG758" s="52">
        <v>1.0</v>
      </c>
    </row>
    <row r="759" ht="14.25" customHeight="1">
      <c r="Y759" s="59"/>
      <c r="Z759" s="59"/>
      <c r="AC759" s="22"/>
      <c r="AF759" s="22"/>
    </row>
    <row r="760" ht="14.25" customHeight="1">
      <c r="Y760" s="90"/>
      <c r="Z760" s="90"/>
      <c r="AC760" s="22"/>
    </row>
    <row r="761" ht="14.25" customHeight="1">
      <c r="Y761" s="56">
        <f>A752+D752+H752+K752+O752+R752+V752+Y752</f>
        <v>39</v>
      </c>
      <c r="Z761" s="3"/>
      <c r="AC761" s="22"/>
    </row>
    <row r="762" ht="14.25" customHeight="1">
      <c r="AC762" s="22"/>
    </row>
    <row r="763" ht="14.25" customHeight="1"/>
    <row r="764" ht="14.25" customHeight="1">
      <c r="P764" s="8">
        <v>45108.0</v>
      </c>
      <c r="Q764" s="2"/>
      <c r="R764" s="2"/>
      <c r="S764" s="3"/>
    </row>
    <row r="765" ht="14.25" customHeight="1"/>
    <row r="766" ht="14.25" customHeight="1">
      <c r="A766" s="9">
        <v>44.0</v>
      </c>
      <c r="B766" s="10">
        <v>45111.0</v>
      </c>
      <c r="C766" s="2"/>
      <c r="D766" s="2"/>
      <c r="E766" s="2"/>
      <c r="F766" s="3"/>
      <c r="H766" s="9">
        <v>45.0</v>
      </c>
      <c r="I766" s="10">
        <v>45118.0</v>
      </c>
      <c r="J766" s="2"/>
      <c r="K766" s="2"/>
      <c r="L766" s="2"/>
      <c r="M766" s="3"/>
      <c r="O766" s="9">
        <v>46.0</v>
      </c>
      <c r="P766" s="10">
        <v>45125.0</v>
      </c>
      <c r="Q766" s="2"/>
      <c r="R766" s="2"/>
      <c r="S766" s="2"/>
      <c r="T766" s="3"/>
      <c r="V766" s="9">
        <v>47.0</v>
      </c>
      <c r="W766" s="10">
        <v>45132.0</v>
      </c>
      <c r="X766" s="2"/>
      <c r="Y766" s="2"/>
      <c r="Z766" s="2"/>
      <c r="AA766" s="3"/>
      <c r="AC766" s="51" t="s">
        <v>303</v>
      </c>
      <c r="AD766" s="2"/>
      <c r="AE766" s="2"/>
      <c r="AF766" s="2"/>
      <c r="AG766" s="3"/>
    </row>
    <row r="767" ht="14.25" customHeight="1">
      <c r="A767" s="14">
        <v>3.0</v>
      </c>
      <c r="B767" s="2"/>
      <c r="C767" s="3"/>
      <c r="D767" s="39">
        <v>3.0</v>
      </c>
      <c r="E767" s="2"/>
      <c r="F767" s="3"/>
      <c r="H767" s="14">
        <v>5.0</v>
      </c>
      <c r="I767" s="2"/>
      <c r="J767" s="3"/>
      <c r="K767" s="39">
        <v>2.0</v>
      </c>
      <c r="L767" s="2"/>
      <c r="M767" s="3"/>
      <c r="O767" s="14">
        <v>10.0</v>
      </c>
      <c r="P767" s="2"/>
      <c r="Q767" s="3"/>
      <c r="R767" s="39">
        <v>8.0</v>
      </c>
      <c r="S767" s="2"/>
      <c r="T767" s="3"/>
      <c r="V767" s="14">
        <v>8.0</v>
      </c>
      <c r="W767" s="2"/>
      <c r="X767" s="3"/>
      <c r="Y767" s="39">
        <v>2.0</v>
      </c>
      <c r="Z767" s="2"/>
      <c r="AA767" s="3"/>
    </row>
    <row r="768" ht="12.0" customHeight="1">
      <c r="A768" s="60"/>
      <c r="B768" s="61" t="s">
        <v>69</v>
      </c>
      <c r="C768" s="62" t="s">
        <v>70</v>
      </c>
      <c r="D768" s="94"/>
      <c r="E768" s="95" t="s">
        <v>69</v>
      </c>
      <c r="F768" s="96" t="s">
        <v>70</v>
      </c>
      <c r="H768" s="66"/>
      <c r="I768" s="61" t="s">
        <v>69</v>
      </c>
      <c r="J768" s="61" t="s">
        <v>70</v>
      </c>
      <c r="K768" s="94"/>
      <c r="L768" s="95" t="s">
        <v>69</v>
      </c>
      <c r="M768" s="96" t="s">
        <v>70</v>
      </c>
      <c r="O768" s="66"/>
      <c r="P768" s="61" t="s">
        <v>69</v>
      </c>
      <c r="Q768" s="62" t="s">
        <v>70</v>
      </c>
      <c r="R768" s="94"/>
      <c r="S768" s="95" t="s">
        <v>69</v>
      </c>
      <c r="T768" s="96" t="s">
        <v>70</v>
      </c>
      <c r="V768" s="66"/>
      <c r="W768" s="61" t="s">
        <v>69</v>
      </c>
      <c r="X768" s="62" t="s">
        <v>70</v>
      </c>
      <c r="Y768" s="94"/>
      <c r="Z768" s="95" t="s">
        <v>69</v>
      </c>
      <c r="AA768" s="96" t="s">
        <v>70</v>
      </c>
      <c r="AC768" s="52" t="s">
        <v>277</v>
      </c>
      <c r="AD768" s="52">
        <v>8.0</v>
      </c>
      <c r="AF768" s="52" t="s">
        <v>174</v>
      </c>
      <c r="AG768" s="52">
        <v>2.0</v>
      </c>
    </row>
    <row r="769" ht="14.25" customHeight="1">
      <c r="A769" s="67" t="s">
        <v>20</v>
      </c>
      <c r="B769" s="68"/>
      <c r="C769" s="69"/>
      <c r="D769" s="97" t="s">
        <v>10</v>
      </c>
      <c r="E769" s="98">
        <v>1.0</v>
      </c>
      <c r="F769" s="99">
        <v>1.0</v>
      </c>
      <c r="H769" s="67" t="s">
        <v>20</v>
      </c>
      <c r="I769" s="68">
        <v>1.0</v>
      </c>
      <c r="J769" s="191"/>
      <c r="K769" s="97" t="s">
        <v>10</v>
      </c>
      <c r="L769" s="98"/>
      <c r="M769" s="99">
        <v>1.0</v>
      </c>
      <c r="O769" s="67" t="s">
        <v>175</v>
      </c>
      <c r="P769" s="68">
        <v>1.0</v>
      </c>
      <c r="Q769" s="69"/>
      <c r="R769" s="97" t="s">
        <v>10</v>
      </c>
      <c r="S769" s="98">
        <v>1.0</v>
      </c>
      <c r="T769" s="99">
        <v>4.0</v>
      </c>
      <c r="V769" s="67" t="s">
        <v>7</v>
      </c>
      <c r="W769" s="68">
        <v>3.0</v>
      </c>
      <c r="X769" s="69">
        <v>3.0</v>
      </c>
      <c r="Y769" s="97" t="s">
        <v>10</v>
      </c>
      <c r="Z769" s="98"/>
      <c r="AA769" s="99"/>
      <c r="AC769" s="52" t="s">
        <v>29</v>
      </c>
      <c r="AD769" s="52">
        <v>7.0</v>
      </c>
      <c r="AF769" s="52" t="s">
        <v>38</v>
      </c>
      <c r="AG769" s="52">
        <v>2.0</v>
      </c>
    </row>
    <row r="770" ht="14.25" customHeight="1">
      <c r="A770" s="72" t="s">
        <v>9</v>
      </c>
      <c r="B770" s="73"/>
      <c r="C770" s="69"/>
      <c r="D770" s="100" t="s">
        <v>18</v>
      </c>
      <c r="E770" s="101"/>
      <c r="F770" s="102"/>
      <c r="H770" s="72" t="s">
        <v>278</v>
      </c>
      <c r="I770" s="73">
        <v>1.0</v>
      </c>
      <c r="J770" s="191"/>
      <c r="K770" s="100" t="s">
        <v>166</v>
      </c>
      <c r="L770" s="101">
        <v>1.0</v>
      </c>
      <c r="M770" s="102"/>
      <c r="O770" s="72" t="s">
        <v>278</v>
      </c>
      <c r="P770" s="73">
        <v>5.0</v>
      </c>
      <c r="Q770" s="69">
        <v>1.0</v>
      </c>
      <c r="R770" s="100" t="s">
        <v>9</v>
      </c>
      <c r="S770" s="101">
        <v>1.0</v>
      </c>
      <c r="T770" s="102"/>
      <c r="V770" s="72" t="s">
        <v>263</v>
      </c>
      <c r="W770" s="73"/>
      <c r="X770" s="69">
        <v>1.0</v>
      </c>
      <c r="Y770" s="100" t="s">
        <v>18</v>
      </c>
      <c r="Z770" s="101">
        <v>1.0</v>
      </c>
      <c r="AA770" s="102">
        <v>1.0</v>
      </c>
      <c r="AC770" s="52" t="s">
        <v>134</v>
      </c>
      <c r="AD770" s="52">
        <v>3.0</v>
      </c>
      <c r="AF770" s="52" t="s">
        <v>232</v>
      </c>
      <c r="AG770" s="52">
        <v>1.0</v>
      </c>
    </row>
    <row r="771" ht="14.25" customHeight="1">
      <c r="A771" s="72" t="s">
        <v>4</v>
      </c>
      <c r="B771" s="73">
        <v>1.0</v>
      </c>
      <c r="C771" s="69"/>
      <c r="D771" s="100" t="s">
        <v>7</v>
      </c>
      <c r="E771" s="101">
        <v>2.0</v>
      </c>
      <c r="F771" s="102"/>
      <c r="H771" s="72" t="s">
        <v>4</v>
      </c>
      <c r="I771" s="73">
        <v>1.0</v>
      </c>
      <c r="J771" s="191">
        <v>3.0</v>
      </c>
      <c r="K771" s="100" t="s">
        <v>18</v>
      </c>
      <c r="L771" s="101"/>
      <c r="M771" s="102"/>
      <c r="O771" s="72" t="s">
        <v>166</v>
      </c>
      <c r="P771" s="73">
        <v>2.0</v>
      </c>
      <c r="Q771" s="69">
        <v>2.0</v>
      </c>
      <c r="R771" s="100" t="s">
        <v>7</v>
      </c>
      <c r="S771" s="101">
        <v>2.0</v>
      </c>
      <c r="T771" s="102"/>
      <c r="V771" s="72" t="s">
        <v>20</v>
      </c>
      <c r="W771" s="73">
        <v>1.0</v>
      </c>
      <c r="X771" s="69">
        <v>2.0</v>
      </c>
      <c r="Y771" s="100" t="s">
        <v>17</v>
      </c>
      <c r="Z771" s="101"/>
      <c r="AA771" s="102"/>
      <c r="AC771" s="52" t="s">
        <v>203</v>
      </c>
      <c r="AD771" s="52">
        <v>3.0</v>
      </c>
      <c r="AF771" s="52" t="s">
        <v>267</v>
      </c>
      <c r="AG771" s="52">
        <v>1.0</v>
      </c>
    </row>
    <row r="772" ht="14.25" customHeight="1">
      <c r="A772" s="72" t="s">
        <v>263</v>
      </c>
      <c r="B772" s="73">
        <v>1.0</v>
      </c>
      <c r="C772" s="69">
        <v>2.0</v>
      </c>
      <c r="D772" s="100" t="s">
        <v>296</v>
      </c>
      <c r="E772" s="101"/>
      <c r="F772" s="102">
        <v>2.0</v>
      </c>
      <c r="H772" s="72" t="s">
        <v>9</v>
      </c>
      <c r="I772" s="73">
        <v>2.0</v>
      </c>
      <c r="J772" s="191">
        <v>1.0</v>
      </c>
      <c r="K772" s="100" t="s">
        <v>296</v>
      </c>
      <c r="L772" s="101"/>
      <c r="M772" s="102"/>
      <c r="O772" s="72" t="s">
        <v>39</v>
      </c>
      <c r="P772" s="73"/>
      <c r="Q772" s="69">
        <v>3.0</v>
      </c>
      <c r="R772" s="100" t="s">
        <v>296</v>
      </c>
      <c r="S772" s="101">
        <v>2.0</v>
      </c>
      <c r="T772" s="102">
        <v>1.0</v>
      </c>
      <c r="V772" s="72" t="s">
        <v>39</v>
      </c>
      <c r="W772" s="73">
        <v>2.0</v>
      </c>
      <c r="X772" s="69">
        <v>1.0</v>
      </c>
      <c r="Y772" s="100" t="s">
        <v>6</v>
      </c>
      <c r="Z772" s="101"/>
      <c r="AA772" s="102"/>
      <c r="AC772" s="52" t="s">
        <v>91</v>
      </c>
      <c r="AD772" s="52">
        <v>3.0</v>
      </c>
      <c r="AF772" s="52" t="s">
        <v>251</v>
      </c>
      <c r="AG772" s="52">
        <v>1.0</v>
      </c>
    </row>
    <row r="773" ht="14.25" customHeight="1">
      <c r="A773" s="77" t="s">
        <v>153</v>
      </c>
      <c r="B773" s="78">
        <v>1.0</v>
      </c>
      <c r="C773" s="82"/>
      <c r="D773" s="103" t="s">
        <v>17</v>
      </c>
      <c r="E773" s="104"/>
      <c r="F773" s="105"/>
      <c r="H773" s="77" t="s">
        <v>7</v>
      </c>
      <c r="I773" s="78"/>
      <c r="J773" s="190">
        <v>1.0</v>
      </c>
      <c r="K773" s="103" t="s">
        <v>57</v>
      </c>
      <c r="L773" s="104">
        <v>1.0</v>
      </c>
      <c r="M773" s="105"/>
      <c r="O773" s="77" t="s">
        <v>18</v>
      </c>
      <c r="P773" s="78">
        <v>2.0</v>
      </c>
      <c r="Q773" s="190"/>
      <c r="R773" s="103" t="s">
        <v>17</v>
      </c>
      <c r="S773" s="104">
        <v>1.0</v>
      </c>
      <c r="T773" s="105">
        <v>1.0</v>
      </c>
      <c r="V773" s="77" t="s">
        <v>278</v>
      </c>
      <c r="W773" s="78">
        <v>2.0</v>
      </c>
      <c r="X773" s="82">
        <v>1.0</v>
      </c>
      <c r="Y773" s="103" t="s">
        <v>4</v>
      </c>
      <c r="Z773" s="104">
        <v>1.0</v>
      </c>
      <c r="AA773" s="105"/>
      <c r="AC773" s="52" t="s">
        <v>49</v>
      </c>
      <c r="AD773" s="52">
        <v>3.0</v>
      </c>
      <c r="AF773" s="52" t="s">
        <v>84</v>
      </c>
      <c r="AG773" s="52">
        <v>1.0</v>
      </c>
    </row>
    <row r="774" ht="14.25" customHeight="1">
      <c r="R774" s="103" t="s">
        <v>114</v>
      </c>
      <c r="S774" s="104">
        <v>1.0</v>
      </c>
      <c r="Y774" s="59"/>
      <c r="Z774" s="59"/>
      <c r="AC774" s="52" t="s">
        <v>297</v>
      </c>
      <c r="AD774" s="52">
        <v>2.0</v>
      </c>
      <c r="AF774" s="52" t="s">
        <v>61</v>
      </c>
      <c r="AG774" s="52">
        <v>1.0</v>
      </c>
    </row>
    <row r="775" ht="14.25" customHeight="1">
      <c r="Y775" s="90"/>
      <c r="Z775" s="90"/>
      <c r="AC775" s="52" t="s">
        <v>82</v>
      </c>
      <c r="AD775" s="52">
        <v>2.0</v>
      </c>
      <c r="AF775" s="52" t="s">
        <v>114</v>
      </c>
      <c r="AG775" s="52">
        <v>1.0</v>
      </c>
    </row>
    <row r="776" ht="14.25" customHeight="1">
      <c r="Y776" s="56">
        <f>A767+D767+H767+K767+O767+R767+V767+Y767</f>
        <v>41</v>
      </c>
      <c r="Z776" s="3"/>
    </row>
    <row r="777" ht="14.25" customHeight="1"/>
    <row r="778" ht="14.25" customHeight="1"/>
    <row r="779" ht="14.25" customHeight="1">
      <c r="P779" s="8">
        <v>45139.0</v>
      </c>
      <c r="Q779" s="2"/>
      <c r="R779" s="2"/>
      <c r="S779" s="3"/>
    </row>
    <row r="780" ht="14.25" customHeight="1"/>
    <row r="781" ht="14.25" customHeight="1">
      <c r="A781" s="9">
        <v>48.0</v>
      </c>
      <c r="B781" s="10">
        <v>45139.0</v>
      </c>
      <c r="C781" s="2"/>
      <c r="D781" s="2"/>
      <c r="E781" s="2"/>
      <c r="F781" s="3"/>
      <c r="H781" s="9">
        <v>49.0</v>
      </c>
      <c r="I781" s="10">
        <v>45146.0</v>
      </c>
      <c r="J781" s="2"/>
      <c r="K781" s="2"/>
      <c r="L781" s="2"/>
      <c r="M781" s="3"/>
      <c r="O781" s="9">
        <v>50.0</v>
      </c>
      <c r="P781" s="10">
        <v>45154.0</v>
      </c>
      <c r="Q781" s="2"/>
      <c r="R781" s="2"/>
      <c r="S781" s="2"/>
      <c r="T781" s="3"/>
      <c r="V781" s="9">
        <v>51.0</v>
      </c>
      <c r="W781" s="10">
        <v>45160.0</v>
      </c>
      <c r="X781" s="2"/>
      <c r="Y781" s="2"/>
      <c r="Z781" s="2"/>
      <c r="AA781" s="3"/>
      <c r="AC781" s="9">
        <v>52.0</v>
      </c>
      <c r="AD781" s="10">
        <v>45167.0</v>
      </c>
      <c r="AE781" s="2"/>
      <c r="AF781" s="2"/>
      <c r="AG781" s="2"/>
      <c r="AH781" s="3"/>
    </row>
    <row r="782" ht="14.25" customHeight="1">
      <c r="A782" s="14">
        <v>7.0</v>
      </c>
      <c r="B782" s="2"/>
      <c r="C782" s="3"/>
      <c r="D782" s="39">
        <v>6.0</v>
      </c>
      <c r="E782" s="2"/>
      <c r="F782" s="3"/>
      <c r="H782" s="14">
        <v>5.0</v>
      </c>
      <c r="I782" s="2"/>
      <c r="J782" s="3"/>
      <c r="K782" s="39">
        <v>5.0</v>
      </c>
      <c r="L782" s="2"/>
      <c r="M782" s="3"/>
      <c r="O782" s="14">
        <v>10.0</v>
      </c>
      <c r="P782" s="2"/>
      <c r="Q782" s="3"/>
      <c r="R782" s="39">
        <v>6.0</v>
      </c>
      <c r="S782" s="2"/>
      <c r="T782" s="3"/>
      <c r="V782" s="14">
        <v>7.0</v>
      </c>
      <c r="W782" s="2"/>
      <c r="X782" s="3"/>
      <c r="Y782" s="39">
        <v>2.0</v>
      </c>
      <c r="Z782" s="2"/>
      <c r="AA782" s="3"/>
      <c r="AC782" s="14">
        <v>3.0</v>
      </c>
      <c r="AD782" s="2"/>
      <c r="AE782" s="3"/>
      <c r="AF782" s="39">
        <v>2.0</v>
      </c>
      <c r="AG782" s="2"/>
      <c r="AH782" s="3"/>
    </row>
    <row r="783" ht="12.0" customHeight="1">
      <c r="A783" s="66"/>
      <c r="B783" s="61" t="s">
        <v>69</v>
      </c>
      <c r="C783" s="62" t="s">
        <v>70</v>
      </c>
      <c r="D783" s="94"/>
      <c r="E783" s="95" t="s">
        <v>69</v>
      </c>
      <c r="F783" s="96" t="s">
        <v>70</v>
      </c>
      <c r="H783" s="66"/>
      <c r="I783" s="61" t="s">
        <v>69</v>
      </c>
      <c r="J783" s="62" t="s">
        <v>70</v>
      </c>
      <c r="K783" s="94"/>
      <c r="L783" s="95" t="s">
        <v>69</v>
      </c>
      <c r="M783" s="96" t="s">
        <v>70</v>
      </c>
      <c r="O783" s="66"/>
      <c r="P783" s="61" t="s">
        <v>69</v>
      </c>
      <c r="Q783" s="62" t="s">
        <v>70</v>
      </c>
      <c r="R783" s="94"/>
      <c r="S783" s="95" t="s">
        <v>69</v>
      </c>
      <c r="T783" s="96" t="s">
        <v>70</v>
      </c>
      <c r="V783" s="66"/>
      <c r="W783" s="61" t="s">
        <v>69</v>
      </c>
      <c r="X783" s="62" t="s">
        <v>70</v>
      </c>
      <c r="Y783" s="94"/>
      <c r="Z783" s="95" t="s">
        <v>69</v>
      </c>
      <c r="AA783" s="96" t="s">
        <v>70</v>
      </c>
      <c r="AC783" s="66"/>
      <c r="AD783" s="61" t="s">
        <v>69</v>
      </c>
      <c r="AE783" s="62" t="s">
        <v>70</v>
      </c>
      <c r="AF783" s="94"/>
      <c r="AG783" s="95" t="s">
        <v>69</v>
      </c>
      <c r="AH783" s="96" t="s">
        <v>70</v>
      </c>
    </row>
    <row r="784" ht="14.25" customHeight="1">
      <c r="A784" s="67" t="s">
        <v>263</v>
      </c>
      <c r="B784" s="68"/>
      <c r="C784" s="69">
        <v>2.0</v>
      </c>
      <c r="D784" s="97" t="s">
        <v>166</v>
      </c>
      <c r="E784" s="98">
        <v>2.0</v>
      </c>
      <c r="F784" s="99">
        <v>1.0</v>
      </c>
      <c r="H784" s="67" t="s">
        <v>18</v>
      </c>
      <c r="I784" s="68">
        <v>1.0</v>
      </c>
      <c r="J784" s="69"/>
      <c r="K784" s="97" t="s">
        <v>166</v>
      </c>
      <c r="L784" s="98"/>
      <c r="M784" s="99">
        <v>1.0</v>
      </c>
      <c r="O784" s="67" t="s">
        <v>296</v>
      </c>
      <c r="P784" s="68">
        <v>2.0</v>
      </c>
      <c r="Q784" s="69"/>
      <c r="R784" s="97" t="s">
        <v>263</v>
      </c>
      <c r="S784" s="98"/>
      <c r="T784" s="99">
        <v>1.0</v>
      </c>
      <c r="V784" s="67" t="s">
        <v>17</v>
      </c>
      <c r="W784" s="68">
        <v>1.0</v>
      </c>
      <c r="X784" s="69">
        <v>1.0</v>
      </c>
      <c r="Y784" s="97" t="s">
        <v>278</v>
      </c>
      <c r="Z784" s="98">
        <v>1.0</v>
      </c>
      <c r="AA784" s="99"/>
      <c r="AC784" s="67" t="s">
        <v>18</v>
      </c>
      <c r="AD784" s="68">
        <v>1.0</v>
      </c>
      <c r="AE784" s="69"/>
      <c r="AF784" s="97" t="s">
        <v>263</v>
      </c>
      <c r="AG784" s="98"/>
      <c r="AH784" s="99"/>
    </row>
    <row r="785" ht="14.25" customHeight="1">
      <c r="A785" s="72" t="s">
        <v>7</v>
      </c>
      <c r="B785" s="73">
        <v>4.0</v>
      </c>
      <c r="C785" s="69"/>
      <c r="D785" s="100" t="s">
        <v>4</v>
      </c>
      <c r="E785" s="101">
        <v>2.0</v>
      </c>
      <c r="F785" s="102">
        <v>2.0</v>
      </c>
      <c r="H785" s="72" t="s">
        <v>7</v>
      </c>
      <c r="I785" s="73">
        <v>1.0</v>
      </c>
      <c r="J785" s="69">
        <v>3.0</v>
      </c>
      <c r="K785" s="100" t="s">
        <v>4</v>
      </c>
      <c r="L785" s="101">
        <v>1.0</v>
      </c>
      <c r="M785" s="102">
        <v>1.0</v>
      </c>
      <c r="O785" s="72" t="s">
        <v>11</v>
      </c>
      <c r="P785" s="73">
        <v>2.0</v>
      </c>
      <c r="Q785" s="69">
        <v>1.0</v>
      </c>
      <c r="R785" s="100" t="s">
        <v>7</v>
      </c>
      <c r="S785" s="101"/>
      <c r="T785" s="102">
        <v>4.0</v>
      </c>
      <c r="V785" s="72" t="s">
        <v>11</v>
      </c>
      <c r="W785" s="73">
        <v>4.0</v>
      </c>
      <c r="X785" s="69"/>
      <c r="Y785" s="100" t="s">
        <v>304</v>
      </c>
      <c r="Z785" s="101"/>
      <c r="AA785" s="102"/>
      <c r="AC785" s="72" t="s">
        <v>11</v>
      </c>
      <c r="AD785" s="73"/>
      <c r="AE785" s="69"/>
      <c r="AF785" s="100" t="s">
        <v>7</v>
      </c>
      <c r="AG785" s="101"/>
      <c r="AH785" s="102"/>
    </row>
    <row r="786" ht="14.25" customHeight="1">
      <c r="A786" s="72" t="s">
        <v>278</v>
      </c>
      <c r="B786" s="73">
        <v>1.0</v>
      </c>
      <c r="C786" s="69">
        <v>2.0</v>
      </c>
      <c r="D786" s="100" t="s">
        <v>9</v>
      </c>
      <c r="E786" s="101"/>
      <c r="F786" s="102"/>
      <c r="H786" s="72" t="s">
        <v>153</v>
      </c>
      <c r="I786" s="73">
        <v>1.0</v>
      </c>
      <c r="J786" s="69"/>
      <c r="K786" s="100" t="s">
        <v>167</v>
      </c>
      <c r="L786" s="101">
        <v>2.0</v>
      </c>
      <c r="M786" s="102"/>
      <c r="O786" s="72" t="s">
        <v>17</v>
      </c>
      <c r="P786" s="73">
        <v>1.0</v>
      </c>
      <c r="Q786" s="69">
        <v>1.0</v>
      </c>
      <c r="R786" s="100" t="s">
        <v>166</v>
      </c>
      <c r="S786" s="101"/>
      <c r="T786" s="102"/>
      <c r="V786" s="72" t="s">
        <v>20</v>
      </c>
      <c r="W786" s="73">
        <v>1.0</v>
      </c>
      <c r="X786" s="69">
        <v>1.0</v>
      </c>
      <c r="Y786" s="100" t="s">
        <v>153</v>
      </c>
      <c r="Z786" s="101"/>
      <c r="AA786" s="102"/>
      <c r="AC786" s="72" t="s">
        <v>166</v>
      </c>
      <c r="AD786" s="73">
        <v>1.0</v>
      </c>
      <c r="AE786" s="69"/>
      <c r="AF786" s="100" t="s">
        <v>20</v>
      </c>
      <c r="AG786" s="101"/>
      <c r="AH786" s="102"/>
    </row>
    <row r="787" ht="14.25" customHeight="1">
      <c r="A787" s="72" t="s">
        <v>6</v>
      </c>
      <c r="B787" s="73"/>
      <c r="C787" s="69"/>
      <c r="D787" s="100" t="s">
        <v>18</v>
      </c>
      <c r="E787" s="101"/>
      <c r="F787" s="102"/>
      <c r="H787" s="72" t="s">
        <v>17</v>
      </c>
      <c r="I787" s="73"/>
      <c r="J787" s="69">
        <v>2.0</v>
      </c>
      <c r="K787" s="100" t="s">
        <v>296</v>
      </c>
      <c r="L787" s="101">
        <v>2.0</v>
      </c>
      <c r="M787" s="102"/>
      <c r="O787" s="72" t="s">
        <v>54</v>
      </c>
      <c r="P787" s="73">
        <v>2.0</v>
      </c>
      <c r="Q787" s="69">
        <v>2.0</v>
      </c>
      <c r="R787" s="100" t="s">
        <v>4</v>
      </c>
      <c r="S787" s="101">
        <v>2.0</v>
      </c>
      <c r="T787" s="102"/>
      <c r="V787" s="72" t="s">
        <v>248</v>
      </c>
      <c r="W787" s="73">
        <v>1.0</v>
      </c>
      <c r="X787" s="69">
        <v>1.0</v>
      </c>
      <c r="Y787" s="100" t="s">
        <v>263</v>
      </c>
      <c r="Z787" s="101">
        <v>1.0</v>
      </c>
      <c r="AA787" s="102">
        <v>1.0</v>
      </c>
      <c r="AC787" s="72" t="s">
        <v>248</v>
      </c>
      <c r="AD787" s="73">
        <v>1.0</v>
      </c>
      <c r="AE787" s="69"/>
      <c r="AF787" s="100" t="s">
        <v>278</v>
      </c>
      <c r="AG787" s="101"/>
      <c r="AH787" s="102">
        <v>1.0</v>
      </c>
    </row>
    <row r="788" ht="14.25" customHeight="1">
      <c r="A788" s="77" t="s">
        <v>20</v>
      </c>
      <c r="B788" s="78">
        <v>2.0</v>
      </c>
      <c r="C788" s="82">
        <v>2.0</v>
      </c>
      <c r="D788" s="103" t="s">
        <v>39</v>
      </c>
      <c r="E788" s="104">
        <v>2.0</v>
      </c>
      <c r="F788" s="105"/>
      <c r="H788" s="77" t="s">
        <v>57</v>
      </c>
      <c r="I788" s="78">
        <v>2.0</v>
      </c>
      <c r="J788" s="82"/>
      <c r="K788" s="103" t="s">
        <v>175</v>
      </c>
      <c r="L788" s="104"/>
      <c r="M788" s="105"/>
      <c r="O788" s="77" t="s">
        <v>210</v>
      </c>
      <c r="P788" s="78">
        <v>3.0</v>
      </c>
      <c r="Q788" s="82">
        <v>1.0</v>
      </c>
      <c r="R788" s="103" t="s">
        <v>278</v>
      </c>
      <c r="S788" s="104">
        <v>4.0</v>
      </c>
      <c r="T788" s="105"/>
      <c r="V788" s="77" t="s">
        <v>175</v>
      </c>
      <c r="W788" s="78"/>
      <c r="X788" s="82"/>
      <c r="Y788" s="103" t="s">
        <v>166</v>
      </c>
      <c r="Z788" s="104"/>
      <c r="AA788" s="105"/>
      <c r="AC788" s="77" t="s">
        <v>305</v>
      </c>
      <c r="AD788" s="78"/>
      <c r="AE788" s="82">
        <v>1.0</v>
      </c>
      <c r="AF788" s="103" t="s">
        <v>9</v>
      </c>
      <c r="AG788" s="104">
        <v>2.0</v>
      </c>
      <c r="AH788" s="105"/>
    </row>
    <row r="789" ht="14.25" customHeight="1"/>
    <row r="790" ht="14.25" customHeight="1"/>
    <row r="791" ht="14.25" customHeight="1">
      <c r="V791" s="90"/>
      <c r="W791" s="90"/>
      <c r="X791" s="90"/>
      <c r="Y791" s="90"/>
      <c r="Z791" s="90"/>
    </row>
    <row r="792" ht="14.25" customHeight="1">
      <c r="A792" s="146"/>
      <c r="B792" s="146"/>
      <c r="C792" s="146"/>
      <c r="D792" s="51" t="s">
        <v>306</v>
      </c>
      <c r="E792" s="2"/>
      <c r="F792" s="2"/>
      <c r="G792" s="2"/>
      <c r="H792" s="3"/>
      <c r="O792" s="135"/>
      <c r="V792" s="55" t="s">
        <v>3</v>
      </c>
      <c r="W792" s="2"/>
      <c r="X792" s="3"/>
      <c r="Y792" s="56">
        <f>A782+D782+H782+K782+O782+R782+V782+Y782+AC782+AF782</f>
        <v>53</v>
      </c>
      <c r="Z792" s="3"/>
    </row>
    <row r="793" ht="14.25" customHeight="1"/>
    <row r="794" ht="14.25" customHeight="1">
      <c r="D794" s="52" t="s">
        <v>41</v>
      </c>
      <c r="E794" s="52">
        <v>6.0</v>
      </c>
      <c r="H794" s="52" t="s">
        <v>91</v>
      </c>
      <c r="I794" s="52">
        <v>2.0</v>
      </c>
      <c r="K794" s="52" t="s">
        <v>267</v>
      </c>
      <c r="L794" s="52">
        <v>1.0</v>
      </c>
    </row>
    <row r="795" ht="14.25" customHeight="1">
      <c r="D795" s="52" t="s">
        <v>277</v>
      </c>
      <c r="E795" s="52">
        <v>6.0</v>
      </c>
      <c r="H795" s="52" t="s">
        <v>84</v>
      </c>
      <c r="I795" s="52">
        <v>2.0</v>
      </c>
      <c r="K795" s="52" t="s">
        <v>232</v>
      </c>
      <c r="L795" s="52">
        <v>1.0</v>
      </c>
    </row>
    <row r="796" ht="14.25" customHeight="1">
      <c r="D796" s="52" t="s">
        <v>49</v>
      </c>
      <c r="E796" s="52">
        <v>5.0</v>
      </c>
      <c r="H796" s="52" t="s">
        <v>307</v>
      </c>
      <c r="I796" s="52">
        <v>2.0</v>
      </c>
    </row>
    <row r="797" ht="14.25" customHeight="1">
      <c r="D797" s="52" t="s">
        <v>29</v>
      </c>
      <c r="E797" s="52">
        <v>5.0</v>
      </c>
      <c r="H797" s="52" t="s">
        <v>174</v>
      </c>
      <c r="I797" s="52">
        <v>2.0</v>
      </c>
    </row>
    <row r="798" ht="14.25" customHeight="1">
      <c r="D798" s="52" t="s">
        <v>297</v>
      </c>
      <c r="E798" s="52">
        <v>4.0</v>
      </c>
      <c r="H798" s="52" t="s">
        <v>79</v>
      </c>
      <c r="I798" s="52">
        <v>2.0</v>
      </c>
    </row>
    <row r="799" ht="14.25" customHeight="1">
      <c r="D799" s="52" t="s">
        <v>38</v>
      </c>
      <c r="E799" s="52">
        <v>3.0</v>
      </c>
      <c r="H799" s="52" t="s">
        <v>61</v>
      </c>
      <c r="I799" s="52">
        <v>2.0</v>
      </c>
    </row>
    <row r="800" ht="14.25" customHeight="1">
      <c r="D800" s="52" t="s">
        <v>203</v>
      </c>
      <c r="E800" s="52">
        <v>3.0</v>
      </c>
      <c r="H800" s="52" t="s">
        <v>248</v>
      </c>
      <c r="I800" s="52">
        <v>2.0</v>
      </c>
    </row>
    <row r="801" ht="14.25" customHeight="1">
      <c r="D801" s="52" t="s">
        <v>289</v>
      </c>
      <c r="E801" s="52">
        <v>3.0</v>
      </c>
      <c r="H801" s="52" t="s">
        <v>134</v>
      </c>
      <c r="I801" s="52">
        <v>2.0</v>
      </c>
    </row>
    <row r="802" ht="14.25" customHeight="1"/>
    <row r="803" ht="14.25" customHeight="1">
      <c r="L803" s="4" t="s">
        <v>308</v>
      </c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3"/>
    </row>
    <row r="804" ht="16.5" customHeight="1"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ht="14.25" customHeight="1"/>
    <row r="806" ht="14.25" customHeight="1">
      <c r="P806" s="8">
        <v>45170.0</v>
      </c>
      <c r="Q806" s="2"/>
      <c r="R806" s="2"/>
      <c r="S806" s="3"/>
    </row>
    <row r="807" ht="14.25" customHeight="1"/>
    <row r="808" ht="14.25" customHeight="1">
      <c r="A808" s="9">
        <v>1.0</v>
      </c>
      <c r="B808" s="10">
        <v>45174.0</v>
      </c>
      <c r="C808" s="2"/>
      <c r="D808" s="2"/>
      <c r="E808" s="2"/>
      <c r="F808" s="3"/>
      <c r="H808" s="9">
        <v>2.0</v>
      </c>
      <c r="I808" s="10">
        <v>45181.0</v>
      </c>
      <c r="J808" s="2"/>
      <c r="K808" s="2"/>
      <c r="L808" s="2"/>
      <c r="M808" s="3"/>
      <c r="O808" s="9">
        <v>3.0</v>
      </c>
      <c r="P808" s="10">
        <v>45188.0</v>
      </c>
      <c r="Q808" s="2"/>
      <c r="R808" s="2"/>
      <c r="S808" s="2"/>
      <c r="T808" s="3"/>
      <c r="V808" s="9">
        <v>4.0</v>
      </c>
      <c r="W808" s="10">
        <v>45195.0</v>
      </c>
      <c r="X808" s="2"/>
      <c r="Y808" s="2"/>
      <c r="Z808" s="2"/>
      <c r="AA808" s="3"/>
      <c r="AC808" s="51" t="s">
        <v>309</v>
      </c>
      <c r="AD808" s="2"/>
      <c r="AE808" s="2"/>
      <c r="AF808" s="2"/>
      <c r="AG808" s="3"/>
    </row>
    <row r="809" ht="14.25" customHeight="1">
      <c r="A809" s="14">
        <v>5.0</v>
      </c>
      <c r="B809" s="2"/>
      <c r="C809" s="3"/>
      <c r="D809" s="39">
        <v>7.0</v>
      </c>
      <c r="E809" s="2"/>
      <c r="F809" s="3"/>
      <c r="H809" s="14">
        <v>6.0</v>
      </c>
      <c r="I809" s="2"/>
      <c r="J809" s="3"/>
      <c r="K809" s="39">
        <v>6.0</v>
      </c>
      <c r="L809" s="2"/>
      <c r="M809" s="3"/>
      <c r="O809" s="14">
        <v>7.0</v>
      </c>
      <c r="P809" s="2"/>
      <c r="Q809" s="3"/>
      <c r="R809" s="39">
        <v>6.0</v>
      </c>
      <c r="S809" s="2"/>
      <c r="T809" s="3"/>
      <c r="V809" s="14">
        <v>2.0</v>
      </c>
      <c r="W809" s="2"/>
      <c r="X809" s="3"/>
      <c r="Y809" s="39">
        <v>5.0</v>
      </c>
      <c r="Z809" s="2"/>
      <c r="AA809" s="3"/>
    </row>
    <row r="810" ht="12.0" customHeight="1">
      <c r="A810" s="60"/>
      <c r="B810" s="61" t="s">
        <v>69</v>
      </c>
      <c r="C810" s="62" t="s">
        <v>70</v>
      </c>
      <c r="D810" s="94"/>
      <c r="E810" s="95" t="s">
        <v>69</v>
      </c>
      <c r="F810" s="96" t="s">
        <v>70</v>
      </c>
      <c r="H810" s="66"/>
      <c r="I810" s="61" t="s">
        <v>69</v>
      </c>
      <c r="J810" s="61" t="s">
        <v>70</v>
      </c>
      <c r="K810" s="94"/>
      <c r="L810" s="95" t="s">
        <v>69</v>
      </c>
      <c r="M810" s="96" t="s">
        <v>70</v>
      </c>
      <c r="O810" s="66"/>
      <c r="P810" s="61" t="s">
        <v>69</v>
      </c>
      <c r="Q810" s="62" t="s">
        <v>70</v>
      </c>
      <c r="R810" s="94"/>
      <c r="S810" s="95" t="s">
        <v>69</v>
      </c>
      <c r="T810" s="96" t="s">
        <v>70</v>
      </c>
      <c r="V810" s="66"/>
      <c r="W810" s="61" t="s">
        <v>69</v>
      </c>
      <c r="X810" s="62" t="s">
        <v>70</v>
      </c>
      <c r="Y810" s="94"/>
      <c r="Z810" s="95" t="s">
        <v>69</v>
      </c>
      <c r="AA810" s="96" t="s">
        <v>70</v>
      </c>
      <c r="AC810" s="52" t="s">
        <v>277</v>
      </c>
      <c r="AD810" s="52">
        <v>7.0</v>
      </c>
      <c r="AF810" s="52" t="s">
        <v>310</v>
      </c>
      <c r="AG810" s="52">
        <v>2.0</v>
      </c>
    </row>
    <row r="811" ht="14.25" customHeight="1">
      <c r="A811" s="67" t="s">
        <v>263</v>
      </c>
      <c r="B811" s="68"/>
      <c r="C811" s="69"/>
      <c r="D811" s="97" t="s">
        <v>18</v>
      </c>
      <c r="E811" s="98">
        <v>1.0</v>
      </c>
      <c r="F811" s="99"/>
      <c r="H811" s="67" t="s">
        <v>10</v>
      </c>
      <c r="I811" s="68"/>
      <c r="J811" s="191">
        <v>1.0</v>
      </c>
      <c r="K811" s="97" t="s">
        <v>18</v>
      </c>
      <c r="L811" s="98">
        <v>1.0</v>
      </c>
      <c r="M811" s="99"/>
      <c r="O811" s="67" t="s">
        <v>18</v>
      </c>
      <c r="P811" s="68"/>
      <c r="Q811" s="69">
        <v>1.0</v>
      </c>
      <c r="R811" s="97" t="s">
        <v>175</v>
      </c>
      <c r="S811" s="98"/>
      <c r="T811" s="99"/>
      <c r="V811" s="67" t="s">
        <v>263</v>
      </c>
      <c r="W811" s="68"/>
      <c r="X811" s="69"/>
      <c r="Y811" s="97" t="s">
        <v>10</v>
      </c>
      <c r="Z811" s="98"/>
      <c r="AA811" s="99"/>
      <c r="AC811" s="52" t="s">
        <v>134</v>
      </c>
      <c r="AD811" s="52">
        <v>6.0</v>
      </c>
      <c r="AF811" s="52" t="s">
        <v>297</v>
      </c>
      <c r="AG811" s="52">
        <v>2.0</v>
      </c>
    </row>
    <row r="812" ht="14.25" customHeight="1">
      <c r="A812" s="72" t="s">
        <v>166</v>
      </c>
      <c r="B812" s="73">
        <v>1.0</v>
      </c>
      <c r="C812" s="69">
        <v>1.0</v>
      </c>
      <c r="D812" s="100" t="s">
        <v>20</v>
      </c>
      <c r="E812" s="101"/>
      <c r="F812" s="102"/>
      <c r="H812" s="72" t="s">
        <v>7</v>
      </c>
      <c r="I812" s="73">
        <v>1.0</v>
      </c>
      <c r="J812" s="191"/>
      <c r="K812" s="100" t="s">
        <v>278</v>
      </c>
      <c r="L812" s="101">
        <v>1.0</v>
      </c>
      <c r="M812" s="102">
        <v>2.0</v>
      </c>
      <c r="O812" s="72" t="s">
        <v>7</v>
      </c>
      <c r="P812" s="73">
        <v>1.0</v>
      </c>
      <c r="Q812" s="69">
        <v>3.0</v>
      </c>
      <c r="R812" s="100" t="s">
        <v>263</v>
      </c>
      <c r="S812" s="101">
        <v>2.0</v>
      </c>
      <c r="T812" s="102">
        <v>1.0</v>
      </c>
      <c r="V812" s="72" t="s">
        <v>4</v>
      </c>
      <c r="W812" s="73">
        <v>1.0</v>
      </c>
      <c r="X812" s="69"/>
      <c r="Y812" s="100" t="s">
        <v>153</v>
      </c>
      <c r="Z812" s="101"/>
      <c r="AA812" s="102"/>
      <c r="AC812" s="52" t="s">
        <v>38</v>
      </c>
      <c r="AD812" s="52">
        <v>4.0</v>
      </c>
      <c r="AF812" s="52" t="s">
        <v>29</v>
      </c>
      <c r="AG812" s="52">
        <v>2.0</v>
      </c>
    </row>
    <row r="813" ht="14.25" customHeight="1">
      <c r="A813" s="72" t="s">
        <v>311</v>
      </c>
      <c r="B813" s="73">
        <v>3.0</v>
      </c>
      <c r="C813" s="69">
        <v>1.0</v>
      </c>
      <c r="D813" s="100" t="s">
        <v>9</v>
      </c>
      <c r="E813" s="101">
        <v>3.0</v>
      </c>
      <c r="F813" s="102"/>
      <c r="H813" s="72" t="s">
        <v>11</v>
      </c>
      <c r="I813" s="73">
        <v>3.0</v>
      </c>
      <c r="J813" s="191">
        <v>1.0</v>
      </c>
      <c r="K813" s="100" t="s">
        <v>304</v>
      </c>
      <c r="L813" s="101">
        <v>2.0</v>
      </c>
      <c r="M813" s="102">
        <v>1.0</v>
      </c>
      <c r="O813" s="72" t="s">
        <v>20</v>
      </c>
      <c r="P813" s="73">
        <v>3.0</v>
      </c>
      <c r="Q813" s="69"/>
      <c r="R813" s="100" t="s">
        <v>278</v>
      </c>
      <c r="S813" s="101">
        <v>1.0</v>
      </c>
      <c r="T813" s="102">
        <v>2.0</v>
      </c>
      <c r="V813" s="72" t="s">
        <v>18</v>
      </c>
      <c r="W813" s="73"/>
      <c r="X813" s="69"/>
      <c r="Y813" s="100" t="s">
        <v>20</v>
      </c>
      <c r="Z813" s="101"/>
      <c r="AA813" s="102">
        <v>1.0</v>
      </c>
      <c r="AC813" s="52" t="s">
        <v>79</v>
      </c>
      <c r="AD813" s="52">
        <v>3.0</v>
      </c>
      <c r="AF813" s="52" t="s">
        <v>91</v>
      </c>
      <c r="AG813" s="52">
        <v>2.0</v>
      </c>
    </row>
    <row r="814" ht="14.25" customHeight="1">
      <c r="A814" s="72" t="s">
        <v>278</v>
      </c>
      <c r="B814" s="73">
        <v>1.0</v>
      </c>
      <c r="C814" s="69">
        <v>2.0</v>
      </c>
      <c r="D814" s="100" t="s">
        <v>54</v>
      </c>
      <c r="E814" s="101">
        <v>3.0</v>
      </c>
      <c r="F814" s="102">
        <v>1.0</v>
      </c>
      <c r="H814" s="72" t="s">
        <v>4</v>
      </c>
      <c r="I814" s="73">
        <v>1.0</v>
      </c>
      <c r="J814" s="191">
        <v>1.0</v>
      </c>
      <c r="K814" s="100" t="s">
        <v>166</v>
      </c>
      <c r="L814" s="101"/>
      <c r="M814" s="102">
        <v>1.0</v>
      </c>
      <c r="O814" s="72" t="s">
        <v>296</v>
      </c>
      <c r="P814" s="73">
        <v>2.0</v>
      </c>
      <c r="Q814" s="69"/>
      <c r="R814" s="100" t="s">
        <v>166</v>
      </c>
      <c r="S814" s="101">
        <v>1.0</v>
      </c>
      <c r="T814" s="102">
        <v>1.0</v>
      </c>
      <c r="V814" s="72" t="s">
        <v>9</v>
      </c>
      <c r="W814" s="73"/>
      <c r="X814" s="69"/>
      <c r="Y814" s="100" t="s">
        <v>175</v>
      </c>
      <c r="Z814" s="101">
        <v>1.0</v>
      </c>
      <c r="AA814" s="102">
        <v>3.0</v>
      </c>
      <c r="AC814" s="52" t="s">
        <v>312</v>
      </c>
      <c r="AD814" s="52">
        <v>3.0</v>
      </c>
      <c r="AF814" s="52" t="s">
        <v>251</v>
      </c>
      <c r="AG814" s="52">
        <v>1.0</v>
      </c>
    </row>
    <row r="815" ht="14.25" customHeight="1">
      <c r="A815" s="203" t="s">
        <v>313</v>
      </c>
      <c r="B815" s="78"/>
      <c r="C815" s="82"/>
      <c r="D815" s="103" t="s">
        <v>7</v>
      </c>
      <c r="E815" s="104"/>
      <c r="F815" s="105">
        <v>2.0</v>
      </c>
      <c r="H815" s="77" t="s">
        <v>20</v>
      </c>
      <c r="I815" s="78">
        <v>1.0</v>
      </c>
      <c r="J815" s="190">
        <v>1.0</v>
      </c>
      <c r="K815" s="103" t="s">
        <v>9</v>
      </c>
      <c r="L815" s="104">
        <v>2.0</v>
      </c>
      <c r="M815" s="105">
        <v>1.0</v>
      </c>
      <c r="O815" s="77" t="s">
        <v>17</v>
      </c>
      <c r="P815" s="78">
        <v>1.0</v>
      </c>
      <c r="Q815" s="190">
        <v>2.0</v>
      </c>
      <c r="R815" s="103" t="s">
        <v>9</v>
      </c>
      <c r="S815" s="104">
        <v>1.0</v>
      </c>
      <c r="T815" s="105"/>
      <c r="V815" s="77" t="s">
        <v>7</v>
      </c>
      <c r="W815" s="78"/>
      <c r="X815" s="82"/>
      <c r="Y815" s="103" t="s">
        <v>278</v>
      </c>
      <c r="Z815" s="104">
        <v>4.0</v>
      </c>
      <c r="AA815" s="105">
        <v>1.0</v>
      </c>
      <c r="AC815" s="52" t="s">
        <v>41</v>
      </c>
      <c r="AD815" s="52">
        <v>3.0</v>
      </c>
      <c r="AF815" s="52" t="s">
        <v>61</v>
      </c>
      <c r="AG815" s="52">
        <v>1.0</v>
      </c>
    </row>
    <row r="816" ht="14.25" customHeight="1">
      <c r="R816" s="103" t="s">
        <v>191</v>
      </c>
      <c r="S816" s="104">
        <v>1.0</v>
      </c>
      <c r="V816" s="77" t="s">
        <v>144</v>
      </c>
      <c r="W816" s="78">
        <v>1.0</v>
      </c>
      <c r="Y816" s="59"/>
      <c r="Z816" s="59"/>
      <c r="AC816" s="52" t="s">
        <v>49</v>
      </c>
      <c r="AD816" s="52">
        <v>2.0</v>
      </c>
      <c r="AF816" s="52" t="s">
        <v>133</v>
      </c>
      <c r="AG816" s="52">
        <v>1.0</v>
      </c>
    </row>
    <row r="817" ht="14.25" customHeight="1">
      <c r="Y817" s="90"/>
      <c r="Z817" s="90"/>
      <c r="AC817" s="52" t="s">
        <v>203</v>
      </c>
      <c r="AD817" s="52">
        <v>2.0</v>
      </c>
      <c r="AF817" s="52" t="s">
        <v>144</v>
      </c>
      <c r="AG817" s="52">
        <v>1.0</v>
      </c>
    </row>
    <row r="818" ht="14.25" customHeight="1">
      <c r="Y818" s="56">
        <f>A809+D809+H809+K809+O809+R809+V809+Y809</f>
        <v>44</v>
      </c>
      <c r="Z818" s="3"/>
      <c r="AC818" s="52" t="s">
        <v>267</v>
      </c>
      <c r="AD818" s="52">
        <v>2.0</v>
      </c>
      <c r="AG818" s="48"/>
    </row>
    <row r="819" ht="14.25" customHeight="1">
      <c r="AD819" s="48"/>
    </row>
    <row r="820" ht="14.25" customHeight="1"/>
    <row r="821" ht="14.25" customHeight="1">
      <c r="P821" s="8">
        <v>45200.0</v>
      </c>
      <c r="Q821" s="2"/>
      <c r="R821" s="2"/>
      <c r="S821" s="3"/>
    </row>
    <row r="822" ht="14.25" customHeight="1">
      <c r="AC822" s="131"/>
    </row>
    <row r="823" ht="14.25" customHeight="1">
      <c r="A823" s="9">
        <v>5.0</v>
      </c>
      <c r="B823" s="10">
        <v>45202.0</v>
      </c>
      <c r="C823" s="2"/>
      <c r="D823" s="2"/>
      <c r="E823" s="2"/>
      <c r="F823" s="3"/>
      <c r="H823" s="9">
        <v>6.0</v>
      </c>
      <c r="I823" s="10">
        <v>45209.0</v>
      </c>
      <c r="J823" s="2"/>
      <c r="K823" s="2"/>
      <c r="L823" s="2"/>
      <c r="M823" s="3"/>
      <c r="O823" s="9">
        <v>7.0</v>
      </c>
      <c r="P823" s="10">
        <v>45216.0</v>
      </c>
      <c r="Q823" s="2"/>
      <c r="R823" s="2"/>
      <c r="S823" s="2"/>
      <c r="T823" s="3"/>
      <c r="V823" s="9">
        <v>8.0</v>
      </c>
      <c r="W823" s="10">
        <v>45223.0</v>
      </c>
      <c r="X823" s="2"/>
      <c r="Y823" s="2"/>
      <c r="Z823" s="2"/>
      <c r="AA823" s="3"/>
      <c r="AC823" s="9">
        <v>9.0</v>
      </c>
      <c r="AD823" s="10">
        <v>45230.0</v>
      </c>
      <c r="AE823" s="2"/>
      <c r="AF823" s="2"/>
      <c r="AG823" s="2"/>
      <c r="AH823" s="3"/>
    </row>
    <row r="824" ht="14.25" customHeight="1">
      <c r="A824" s="14">
        <v>2.0</v>
      </c>
      <c r="B824" s="2"/>
      <c r="C824" s="3"/>
      <c r="D824" s="39">
        <v>4.0</v>
      </c>
      <c r="E824" s="2"/>
      <c r="F824" s="3"/>
      <c r="H824" s="14">
        <v>3.0</v>
      </c>
      <c r="I824" s="2"/>
      <c r="J824" s="3"/>
      <c r="K824" s="39">
        <v>8.0</v>
      </c>
      <c r="L824" s="2"/>
      <c r="M824" s="3"/>
      <c r="O824" s="14">
        <v>9.0</v>
      </c>
      <c r="P824" s="2"/>
      <c r="Q824" s="3"/>
      <c r="R824" s="39">
        <v>2.0</v>
      </c>
      <c r="S824" s="2"/>
      <c r="T824" s="3"/>
      <c r="V824" s="14">
        <v>4.0</v>
      </c>
      <c r="W824" s="2"/>
      <c r="X824" s="3"/>
      <c r="Y824" s="39">
        <v>2.0</v>
      </c>
      <c r="Z824" s="2"/>
      <c r="AA824" s="3"/>
      <c r="AC824" s="14">
        <v>5.0</v>
      </c>
      <c r="AD824" s="2"/>
      <c r="AE824" s="3"/>
      <c r="AF824" s="39">
        <v>4.0</v>
      </c>
      <c r="AG824" s="2"/>
      <c r="AH824" s="3"/>
    </row>
    <row r="825" ht="12.0" customHeight="1">
      <c r="A825" s="66"/>
      <c r="B825" s="61" t="s">
        <v>69</v>
      </c>
      <c r="C825" s="62" t="s">
        <v>70</v>
      </c>
      <c r="D825" s="94"/>
      <c r="E825" s="95" t="s">
        <v>69</v>
      </c>
      <c r="F825" s="96" t="s">
        <v>70</v>
      </c>
      <c r="H825" s="66"/>
      <c r="I825" s="61" t="s">
        <v>69</v>
      </c>
      <c r="J825" s="62" t="s">
        <v>70</v>
      </c>
      <c r="K825" s="94"/>
      <c r="L825" s="95" t="s">
        <v>69</v>
      </c>
      <c r="M825" s="96" t="s">
        <v>70</v>
      </c>
      <c r="O825" s="66"/>
      <c r="P825" s="61" t="s">
        <v>69</v>
      </c>
      <c r="Q825" s="62" t="s">
        <v>70</v>
      </c>
      <c r="R825" s="94"/>
      <c r="S825" s="95" t="s">
        <v>69</v>
      </c>
      <c r="T825" s="96" t="s">
        <v>70</v>
      </c>
      <c r="V825" s="66"/>
      <c r="W825" s="61" t="s">
        <v>69</v>
      </c>
      <c r="X825" s="62" t="s">
        <v>70</v>
      </c>
      <c r="Y825" s="94"/>
      <c r="Z825" s="95" t="s">
        <v>69</v>
      </c>
      <c r="AA825" s="96" t="s">
        <v>70</v>
      </c>
      <c r="AC825" s="66"/>
      <c r="AD825" s="61" t="s">
        <v>69</v>
      </c>
      <c r="AE825" s="62" t="s">
        <v>70</v>
      </c>
      <c r="AF825" s="94"/>
      <c r="AG825" s="95" t="s">
        <v>69</v>
      </c>
      <c r="AH825" s="96" t="s">
        <v>70</v>
      </c>
    </row>
    <row r="826" ht="14.25" customHeight="1">
      <c r="A826" s="67" t="s">
        <v>263</v>
      </c>
      <c r="B826" s="68">
        <v>1.0</v>
      </c>
      <c r="C826" s="69"/>
      <c r="D826" s="97" t="s">
        <v>10</v>
      </c>
      <c r="E826" s="98"/>
      <c r="F826" s="99"/>
      <c r="H826" s="67" t="s">
        <v>263</v>
      </c>
      <c r="I826" s="68"/>
      <c r="J826" s="69">
        <v>1.0</v>
      </c>
      <c r="K826" s="97" t="s">
        <v>10</v>
      </c>
      <c r="L826" s="98"/>
      <c r="M826" s="99"/>
      <c r="O826" s="67" t="s">
        <v>10</v>
      </c>
      <c r="P826" s="68"/>
      <c r="Q826" s="69">
        <v>1.0</v>
      </c>
      <c r="R826" s="97" t="s">
        <v>18</v>
      </c>
      <c r="S826" s="98"/>
      <c r="T826" s="99">
        <v>1.0</v>
      </c>
      <c r="V826" s="67" t="s">
        <v>10</v>
      </c>
      <c r="W826" s="68">
        <v>1.0</v>
      </c>
      <c r="X826" s="69">
        <v>1.0</v>
      </c>
      <c r="Y826" s="97" t="s">
        <v>263</v>
      </c>
      <c r="Z826" s="98">
        <v>1.0</v>
      </c>
      <c r="AA826" s="99"/>
      <c r="AC826" s="67" t="s">
        <v>7</v>
      </c>
      <c r="AD826" s="68">
        <v>1.0</v>
      </c>
      <c r="AE826" s="69"/>
      <c r="AF826" s="97" t="s">
        <v>153</v>
      </c>
      <c r="AG826" s="98"/>
      <c r="AH826" s="99">
        <v>2.0</v>
      </c>
    </row>
    <row r="827" ht="14.25" customHeight="1">
      <c r="A827" s="72" t="s">
        <v>4</v>
      </c>
      <c r="B827" s="73"/>
      <c r="C827" s="69"/>
      <c r="D827" s="100" t="s">
        <v>7</v>
      </c>
      <c r="E827" s="101"/>
      <c r="F827" s="102">
        <v>1.0</v>
      </c>
      <c r="H827" s="72" t="s">
        <v>4</v>
      </c>
      <c r="I827" s="73">
        <v>1.0</v>
      </c>
      <c r="J827" s="69">
        <v>1.0</v>
      </c>
      <c r="K827" s="100" t="s">
        <v>7</v>
      </c>
      <c r="L827" s="101">
        <v>4.0</v>
      </c>
      <c r="M827" s="102">
        <v>1.0</v>
      </c>
      <c r="O827" s="72" t="s">
        <v>263</v>
      </c>
      <c r="P827" s="73">
        <v>2.0</v>
      </c>
      <c r="Q827" s="69">
        <v>1.0</v>
      </c>
      <c r="R827" s="100" t="s">
        <v>175</v>
      </c>
      <c r="S827" s="101"/>
      <c r="T827" s="102"/>
      <c r="V827" s="72" t="s">
        <v>7</v>
      </c>
      <c r="W827" s="73">
        <v>2.0</v>
      </c>
      <c r="X827" s="69">
        <v>1.0</v>
      </c>
      <c r="Y827" s="100" t="s">
        <v>278</v>
      </c>
      <c r="Z827" s="101">
        <v>1.0</v>
      </c>
      <c r="AA827" s="102"/>
      <c r="AC827" s="72" t="s">
        <v>11</v>
      </c>
      <c r="AD827" s="73"/>
      <c r="AE827" s="69"/>
      <c r="AF827" s="100" t="s">
        <v>175</v>
      </c>
      <c r="AG827" s="101"/>
      <c r="AH827" s="102"/>
    </row>
    <row r="828" ht="14.25" customHeight="1">
      <c r="A828" s="72" t="s">
        <v>18</v>
      </c>
      <c r="B828" s="73"/>
      <c r="C828" s="69">
        <v>1.0</v>
      </c>
      <c r="D828" s="100" t="s">
        <v>11</v>
      </c>
      <c r="E828" s="101">
        <v>2.0</v>
      </c>
      <c r="F828" s="102"/>
      <c r="H828" s="72" t="s">
        <v>17</v>
      </c>
      <c r="I828" s="73">
        <v>1.0</v>
      </c>
      <c r="J828" s="69"/>
      <c r="K828" s="100" t="s">
        <v>20</v>
      </c>
      <c r="L828" s="101">
        <v>1.0</v>
      </c>
      <c r="M828" s="102">
        <v>2.0</v>
      </c>
      <c r="O828" s="72" t="s">
        <v>20</v>
      </c>
      <c r="P828" s="73">
        <v>3.0</v>
      </c>
      <c r="Q828" s="69">
        <v>1.0</v>
      </c>
      <c r="R828" s="100" t="s">
        <v>166</v>
      </c>
      <c r="S828" s="101"/>
      <c r="T828" s="102">
        <v>1.0</v>
      </c>
      <c r="V828" s="72" t="s">
        <v>4</v>
      </c>
      <c r="W828" s="73">
        <v>1.0</v>
      </c>
      <c r="X828" s="69"/>
      <c r="Y828" s="100" t="s">
        <v>18</v>
      </c>
      <c r="Z828" s="101"/>
      <c r="AA828" s="102"/>
      <c r="AC828" s="72" t="s">
        <v>55</v>
      </c>
      <c r="AD828" s="73">
        <v>2.0</v>
      </c>
      <c r="AE828" s="69">
        <v>1.0</v>
      </c>
      <c r="AF828" s="100" t="s">
        <v>17</v>
      </c>
      <c r="AG828" s="101">
        <v>1.0</v>
      </c>
      <c r="AH828" s="102">
        <v>1.0</v>
      </c>
    </row>
    <row r="829" ht="14.25" customHeight="1">
      <c r="A829" s="72" t="s">
        <v>20</v>
      </c>
      <c r="B829" s="73"/>
      <c r="C829" s="69">
        <v>1.0</v>
      </c>
      <c r="D829" s="100" t="s">
        <v>9</v>
      </c>
      <c r="E829" s="101">
        <v>1.0</v>
      </c>
      <c r="F829" s="102"/>
      <c r="H829" s="72" t="s">
        <v>166</v>
      </c>
      <c r="I829" s="73"/>
      <c r="J829" s="69"/>
      <c r="K829" s="100" t="s">
        <v>9</v>
      </c>
      <c r="L829" s="101">
        <v>2.0</v>
      </c>
      <c r="M829" s="102">
        <v>1.0</v>
      </c>
      <c r="O829" s="72" t="s">
        <v>9</v>
      </c>
      <c r="P829" s="73">
        <v>3.0</v>
      </c>
      <c r="Q829" s="69"/>
      <c r="R829" s="100" t="s">
        <v>314</v>
      </c>
      <c r="S829" s="101"/>
      <c r="T829" s="102"/>
      <c r="V829" s="72" t="s">
        <v>9</v>
      </c>
      <c r="W829" s="73"/>
      <c r="X829" s="69"/>
      <c r="Y829" s="100" t="s">
        <v>166</v>
      </c>
      <c r="Z829" s="101"/>
      <c r="AA829" s="102">
        <v>2.0</v>
      </c>
      <c r="AC829" s="72" t="s">
        <v>166</v>
      </c>
      <c r="AD829" s="73">
        <v>1.0</v>
      </c>
      <c r="AE829" s="69">
        <v>2.0</v>
      </c>
      <c r="AF829" s="100" t="s">
        <v>278</v>
      </c>
      <c r="AG829" s="101">
        <v>2.0</v>
      </c>
      <c r="AH829" s="102"/>
    </row>
    <row r="830" ht="14.25" customHeight="1">
      <c r="A830" s="77" t="s">
        <v>17</v>
      </c>
      <c r="B830" s="78">
        <v>1.0</v>
      </c>
      <c r="C830" s="82"/>
      <c r="D830" s="103" t="s">
        <v>278</v>
      </c>
      <c r="E830" s="104">
        <v>1.0</v>
      </c>
      <c r="F830" s="105">
        <v>1.0</v>
      </c>
      <c r="H830" s="77" t="s">
        <v>18</v>
      </c>
      <c r="I830" s="78">
        <v>1.0</v>
      </c>
      <c r="J830" s="82"/>
      <c r="K830" s="103" t="s">
        <v>278</v>
      </c>
      <c r="L830" s="104">
        <v>1.0</v>
      </c>
      <c r="M830" s="105">
        <v>2.0</v>
      </c>
      <c r="O830" s="77" t="s">
        <v>153</v>
      </c>
      <c r="P830" s="78">
        <v>1.0</v>
      </c>
      <c r="Q830" s="82">
        <v>1.0</v>
      </c>
      <c r="R830" s="103" t="s">
        <v>278</v>
      </c>
      <c r="S830" s="104">
        <v>2.0</v>
      </c>
      <c r="T830" s="105"/>
      <c r="V830" s="77" t="s">
        <v>20</v>
      </c>
      <c r="W830" s="78"/>
      <c r="X830" s="82">
        <v>1.0</v>
      </c>
      <c r="Y830" s="103" t="s">
        <v>17</v>
      </c>
      <c r="Z830" s="104"/>
      <c r="AA830" s="105"/>
      <c r="AC830" s="77" t="s">
        <v>18</v>
      </c>
      <c r="AD830" s="78"/>
      <c r="AE830" s="82">
        <v>1.0</v>
      </c>
      <c r="AF830" s="103" t="s">
        <v>9</v>
      </c>
      <c r="AG830" s="104">
        <v>1.0</v>
      </c>
      <c r="AH830" s="105"/>
    </row>
    <row r="831" ht="14.25" customHeight="1">
      <c r="AC831" s="77" t="s">
        <v>315</v>
      </c>
      <c r="AD831" s="78">
        <v>1.0</v>
      </c>
    </row>
    <row r="832" ht="14.25" customHeight="1"/>
    <row r="833" ht="14.25" customHeight="1">
      <c r="V833" s="90"/>
      <c r="W833" s="90"/>
      <c r="X833" s="90"/>
      <c r="Y833" s="90"/>
      <c r="Z833" s="90"/>
    </row>
    <row r="834" ht="14.25" customHeight="1">
      <c r="A834" s="146"/>
      <c r="B834" s="146"/>
      <c r="C834" s="146"/>
      <c r="D834" s="51" t="s">
        <v>316</v>
      </c>
      <c r="E834" s="2"/>
      <c r="F834" s="2"/>
      <c r="G834" s="2"/>
      <c r="H834" s="3"/>
      <c r="O834" s="135"/>
      <c r="V834" s="55" t="s">
        <v>3</v>
      </c>
      <c r="W834" s="2"/>
      <c r="X834" s="3"/>
      <c r="Y834" s="56">
        <f>A824+D824+H824+K824+O824+R824+V824+Y824+AC824+AF824</f>
        <v>43</v>
      </c>
      <c r="Z834" s="3"/>
    </row>
    <row r="835" ht="14.25" customHeight="1"/>
    <row r="836" ht="14.25" customHeight="1">
      <c r="D836" s="52" t="s">
        <v>134</v>
      </c>
      <c r="E836" s="52">
        <v>7.0</v>
      </c>
      <c r="H836" s="52" t="s">
        <v>41</v>
      </c>
      <c r="I836" s="52">
        <v>2.0</v>
      </c>
    </row>
    <row r="837" ht="14.25" customHeight="1">
      <c r="D837" s="52" t="s">
        <v>29</v>
      </c>
      <c r="E837" s="52">
        <v>7.0</v>
      </c>
      <c r="H837" s="52" t="s">
        <v>49</v>
      </c>
      <c r="I837" s="52">
        <v>2.0</v>
      </c>
    </row>
    <row r="838" ht="14.25" customHeight="1">
      <c r="D838" s="52" t="s">
        <v>277</v>
      </c>
      <c r="E838" s="52">
        <v>7.0</v>
      </c>
      <c r="H838" s="52" t="s">
        <v>91</v>
      </c>
      <c r="I838" s="52">
        <v>1.0</v>
      </c>
    </row>
    <row r="839" ht="14.25" customHeight="1">
      <c r="D839" s="52" t="s">
        <v>38</v>
      </c>
      <c r="E839" s="52">
        <v>4.0</v>
      </c>
      <c r="H839" s="52" t="s">
        <v>232</v>
      </c>
      <c r="I839" s="52">
        <v>1.0</v>
      </c>
    </row>
    <row r="840" ht="14.25" customHeight="1">
      <c r="D840" s="52" t="s">
        <v>267</v>
      </c>
      <c r="E840" s="52">
        <v>4.0</v>
      </c>
      <c r="H840" s="52" t="s">
        <v>82</v>
      </c>
      <c r="I840" s="52">
        <v>1.0</v>
      </c>
    </row>
    <row r="841" ht="14.25" customHeight="1">
      <c r="D841" s="52" t="s">
        <v>61</v>
      </c>
      <c r="E841" s="52">
        <v>3.0</v>
      </c>
      <c r="H841" s="52" t="s">
        <v>203</v>
      </c>
      <c r="I841" s="52">
        <v>1.0</v>
      </c>
    </row>
    <row r="842" ht="14.25" customHeight="1">
      <c r="D842" s="52" t="s">
        <v>119</v>
      </c>
      <c r="E842" s="52">
        <v>2.0</v>
      </c>
      <c r="H842" s="52" t="s">
        <v>317</v>
      </c>
      <c r="I842" s="52">
        <v>1.0</v>
      </c>
    </row>
    <row r="843" ht="14.25" customHeight="1"/>
    <row r="844" ht="14.25" customHeight="1">
      <c r="E844" s="48"/>
      <c r="I844" s="48"/>
    </row>
    <row r="845" ht="14.25" customHeight="1">
      <c r="P845" s="8">
        <v>45231.0</v>
      </c>
      <c r="Q845" s="2"/>
      <c r="R845" s="2"/>
      <c r="S845" s="3"/>
    </row>
    <row r="846" ht="14.25" customHeight="1">
      <c r="A846" s="52" t="s">
        <v>318</v>
      </c>
    </row>
    <row r="847" ht="14.25" customHeight="1">
      <c r="A847" s="9">
        <v>10.0</v>
      </c>
      <c r="B847" s="10">
        <v>45237.0</v>
      </c>
      <c r="C847" s="2"/>
      <c r="D847" s="2"/>
      <c r="E847" s="2"/>
      <c r="F847" s="3"/>
      <c r="H847" s="9">
        <v>11.0</v>
      </c>
      <c r="I847" s="10">
        <v>45244.0</v>
      </c>
      <c r="J847" s="2"/>
      <c r="K847" s="2"/>
      <c r="L847" s="2"/>
      <c r="M847" s="3"/>
      <c r="O847" s="9">
        <v>12.0</v>
      </c>
      <c r="P847" s="10">
        <v>45251.0</v>
      </c>
      <c r="Q847" s="2"/>
      <c r="R847" s="2"/>
      <c r="S847" s="2"/>
      <c r="T847" s="3"/>
      <c r="V847" s="9">
        <v>13.0</v>
      </c>
      <c r="W847" s="10">
        <v>45258.0</v>
      </c>
      <c r="X847" s="2"/>
      <c r="Y847" s="2"/>
      <c r="Z847" s="2"/>
      <c r="AA847" s="3"/>
      <c r="AC847" s="51" t="s">
        <v>319</v>
      </c>
      <c r="AD847" s="2"/>
      <c r="AE847" s="2"/>
      <c r="AF847" s="2"/>
      <c r="AG847" s="3"/>
    </row>
    <row r="848" ht="14.25" customHeight="1">
      <c r="A848" s="14">
        <v>8.0</v>
      </c>
      <c r="B848" s="2"/>
      <c r="C848" s="3"/>
      <c r="D848" s="39">
        <v>3.0</v>
      </c>
      <c r="E848" s="2"/>
      <c r="F848" s="3"/>
      <c r="H848" s="14">
        <v>8.0</v>
      </c>
      <c r="I848" s="2"/>
      <c r="J848" s="3"/>
      <c r="K848" s="39">
        <v>4.0</v>
      </c>
      <c r="L848" s="2"/>
      <c r="M848" s="3"/>
      <c r="O848" s="14">
        <v>5.0</v>
      </c>
      <c r="P848" s="2"/>
      <c r="Q848" s="3"/>
      <c r="R848" s="39">
        <v>3.0</v>
      </c>
      <c r="S848" s="2"/>
      <c r="T848" s="3"/>
      <c r="V848" s="14">
        <v>8.0</v>
      </c>
      <c r="W848" s="2"/>
      <c r="X848" s="3"/>
      <c r="Y848" s="39">
        <v>5.0</v>
      </c>
      <c r="Z848" s="2"/>
      <c r="AA848" s="3"/>
    </row>
    <row r="849" ht="12.0" customHeight="1">
      <c r="A849" s="60"/>
      <c r="B849" s="61" t="s">
        <v>69</v>
      </c>
      <c r="C849" s="62" t="s">
        <v>70</v>
      </c>
      <c r="D849" s="94"/>
      <c r="E849" s="95" t="s">
        <v>69</v>
      </c>
      <c r="F849" s="96" t="s">
        <v>70</v>
      </c>
      <c r="H849" s="66"/>
      <c r="I849" s="61" t="s">
        <v>69</v>
      </c>
      <c r="J849" s="61" t="s">
        <v>70</v>
      </c>
      <c r="K849" s="94"/>
      <c r="L849" s="95" t="s">
        <v>69</v>
      </c>
      <c r="M849" s="96" t="s">
        <v>70</v>
      </c>
      <c r="O849" s="66"/>
      <c r="P849" s="61" t="s">
        <v>69</v>
      </c>
      <c r="Q849" s="62" t="s">
        <v>70</v>
      </c>
      <c r="R849" s="94"/>
      <c r="S849" s="95" t="s">
        <v>69</v>
      </c>
      <c r="T849" s="96" t="s">
        <v>70</v>
      </c>
      <c r="V849" s="66"/>
      <c r="W849" s="61" t="s">
        <v>69</v>
      </c>
      <c r="X849" s="62" t="s">
        <v>70</v>
      </c>
      <c r="Y849" s="94"/>
      <c r="Z849" s="95" t="s">
        <v>69</v>
      </c>
      <c r="AA849" s="96" t="s">
        <v>70</v>
      </c>
      <c r="AC849" s="52" t="s">
        <v>267</v>
      </c>
      <c r="AD849" s="52">
        <v>7.0</v>
      </c>
      <c r="AF849" s="52" t="s">
        <v>82</v>
      </c>
      <c r="AG849" s="52">
        <v>2.0</v>
      </c>
    </row>
    <row r="850" ht="14.25" customHeight="1">
      <c r="A850" s="67" t="s">
        <v>11</v>
      </c>
      <c r="B850" s="68">
        <v>1.0</v>
      </c>
      <c r="C850" s="69">
        <v>1.0</v>
      </c>
      <c r="D850" s="97" t="s">
        <v>10</v>
      </c>
      <c r="E850" s="98">
        <v>1.0</v>
      </c>
      <c r="F850" s="99"/>
      <c r="H850" s="67" t="s">
        <v>7</v>
      </c>
      <c r="I850" s="68">
        <v>1.0</v>
      </c>
      <c r="J850" s="191">
        <v>3.0</v>
      </c>
      <c r="K850" s="97" t="s">
        <v>320</v>
      </c>
      <c r="L850" s="98"/>
      <c r="M850" s="99">
        <v>1.0</v>
      </c>
      <c r="O850" s="67" t="s">
        <v>10</v>
      </c>
      <c r="P850" s="68">
        <v>1.0</v>
      </c>
      <c r="Q850" s="69"/>
      <c r="R850" s="97" t="s">
        <v>263</v>
      </c>
      <c r="S850" s="98"/>
      <c r="T850" s="99"/>
      <c r="V850" s="67" t="s">
        <v>263</v>
      </c>
      <c r="W850" s="68">
        <v>2.0</v>
      </c>
      <c r="X850" s="69">
        <v>1.0</v>
      </c>
      <c r="Y850" s="97" t="s">
        <v>296</v>
      </c>
      <c r="Z850" s="98">
        <v>1.0</v>
      </c>
      <c r="AA850" s="99">
        <v>2.0</v>
      </c>
      <c r="AC850" s="52" t="s">
        <v>277</v>
      </c>
      <c r="AD850" s="52">
        <v>6.0</v>
      </c>
      <c r="AF850" s="52" t="s">
        <v>38</v>
      </c>
      <c r="AG850" s="52">
        <v>2.0</v>
      </c>
    </row>
    <row r="851" ht="14.25" customHeight="1">
      <c r="A851" s="72" t="s">
        <v>263</v>
      </c>
      <c r="B851" s="73">
        <v>3.0</v>
      </c>
      <c r="C851" s="69">
        <v>1.0</v>
      </c>
      <c r="D851" s="100" t="s">
        <v>18</v>
      </c>
      <c r="E851" s="101"/>
      <c r="F851" s="102">
        <v>1.0</v>
      </c>
      <c r="H851" s="72" t="s">
        <v>263</v>
      </c>
      <c r="I851" s="73">
        <v>2.0</v>
      </c>
      <c r="J851" s="191">
        <v>1.0</v>
      </c>
      <c r="K851" s="100" t="s">
        <v>18</v>
      </c>
      <c r="L851" s="101">
        <v>1.0</v>
      </c>
      <c r="M851" s="102">
        <v>1.0</v>
      </c>
      <c r="O851" s="72" t="s">
        <v>9</v>
      </c>
      <c r="P851" s="73">
        <v>1.0</v>
      </c>
      <c r="Q851" s="69"/>
      <c r="R851" s="100" t="s">
        <v>20</v>
      </c>
      <c r="S851" s="101"/>
      <c r="T851" s="102"/>
      <c r="V851" s="72" t="s">
        <v>166</v>
      </c>
      <c r="W851" s="73">
        <v>1.0</v>
      </c>
      <c r="X851" s="69"/>
      <c r="Y851" s="100" t="s">
        <v>9</v>
      </c>
      <c r="Z851" s="101"/>
      <c r="AA851" s="102"/>
      <c r="AC851" s="52" t="s">
        <v>61</v>
      </c>
      <c r="AD851" s="52">
        <v>4.0</v>
      </c>
      <c r="AF851" s="52" t="s">
        <v>134</v>
      </c>
      <c r="AG851" s="52">
        <v>1.0</v>
      </c>
    </row>
    <row r="852" ht="14.25" customHeight="1">
      <c r="A852" s="72" t="s">
        <v>20</v>
      </c>
      <c r="B852" s="73">
        <v>2.0</v>
      </c>
      <c r="C852" s="69"/>
      <c r="D852" s="100" t="s">
        <v>166</v>
      </c>
      <c r="E852" s="101"/>
      <c r="F852" s="102"/>
      <c r="H852" s="72" t="s">
        <v>175</v>
      </c>
      <c r="I852" s="73"/>
      <c r="J852" s="191"/>
      <c r="K852" s="100" t="s">
        <v>166</v>
      </c>
      <c r="L852" s="101">
        <v>1.0</v>
      </c>
      <c r="M852" s="102"/>
      <c r="O852" s="72" t="s">
        <v>166</v>
      </c>
      <c r="P852" s="73">
        <v>2.0</v>
      </c>
      <c r="Q852" s="69"/>
      <c r="R852" s="100" t="s">
        <v>17</v>
      </c>
      <c r="S852" s="101"/>
      <c r="T852" s="102">
        <v>1.0</v>
      </c>
      <c r="V852" s="72" t="s">
        <v>11</v>
      </c>
      <c r="W852" s="73">
        <v>2.0</v>
      </c>
      <c r="X852" s="69">
        <v>1.0</v>
      </c>
      <c r="Y852" s="100" t="s">
        <v>4</v>
      </c>
      <c r="Z852" s="101">
        <v>2.0</v>
      </c>
      <c r="AA852" s="102"/>
      <c r="AC852" s="52" t="s">
        <v>203</v>
      </c>
      <c r="AD852" s="52">
        <v>4.0</v>
      </c>
      <c r="AF852" s="52" t="s">
        <v>91</v>
      </c>
      <c r="AG852" s="52">
        <v>1.0</v>
      </c>
    </row>
    <row r="853" ht="14.25" customHeight="1">
      <c r="A853" s="72" t="s">
        <v>4</v>
      </c>
      <c r="B853" s="73">
        <v>1.0</v>
      </c>
      <c r="C853" s="69"/>
      <c r="D853" s="100" t="s">
        <v>278</v>
      </c>
      <c r="E853" s="101">
        <v>1.0</v>
      </c>
      <c r="F853" s="102"/>
      <c r="H853" s="72" t="s">
        <v>4</v>
      </c>
      <c r="I853" s="73">
        <v>1.0</v>
      </c>
      <c r="J853" s="191"/>
      <c r="K853" s="100" t="s">
        <v>278</v>
      </c>
      <c r="L853" s="101">
        <v>2.0</v>
      </c>
      <c r="M853" s="102">
        <v>1.0</v>
      </c>
      <c r="O853" s="72" t="s">
        <v>11</v>
      </c>
      <c r="P853" s="73">
        <v>1.0</v>
      </c>
      <c r="Q853" s="69"/>
      <c r="R853" s="100" t="s">
        <v>18</v>
      </c>
      <c r="S853" s="101"/>
      <c r="T853" s="102"/>
      <c r="V853" s="72" t="s">
        <v>278</v>
      </c>
      <c r="W853" s="73">
        <v>1.0</v>
      </c>
      <c r="X853" s="69">
        <v>2.0</v>
      </c>
      <c r="Y853" s="100" t="s">
        <v>17</v>
      </c>
      <c r="Z853" s="101"/>
      <c r="AA853" s="102"/>
      <c r="AC853" s="52" t="s">
        <v>29</v>
      </c>
      <c r="AD853" s="52">
        <v>4.0</v>
      </c>
      <c r="AF853" s="52" t="s">
        <v>297</v>
      </c>
      <c r="AG853" s="52">
        <v>1.0</v>
      </c>
    </row>
    <row r="854" ht="14.25" customHeight="1">
      <c r="A854" s="203" t="s">
        <v>17</v>
      </c>
      <c r="B854" s="78">
        <v>1.0</v>
      </c>
      <c r="C854" s="82">
        <v>2.0</v>
      </c>
      <c r="D854" s="103" t="s">
        <v>7</v>
      </c>
      <c r="E854" s="104">
        <v>1.0</v>
      </c>
      <c r="F854" s="105">
        <v>1.0</v>
      </c>
      <c r="H854" s="77" t="s">
        <v>17</v>
      </c>
      <c r="I854" s="78">
        <v>3.0</v>
      </c>
      <c r="J854" s="190">
        <v>3.0</v>
      </c>
      <c r="K854" s="103" t="s">
        <v>11</v>
      </c>
      <c r="L854" s="104"/>
      <c r="M854" s="105"/>
      <c r="O854" s="77" t="s">
        <v>7</v>
      </c>
      <c r="P854" s="78"/>
      <c r="Q854" s="190">
        <v>1.0</v>
      </c>
      <c r="R854" s="103" t="s">
        <v>278</v>
      </c>
      <c r="S854" s="104">
        <v>2.0</v>
      </c>
      <c r="T854" s="105"/>
      <c r="V854" s="77" t="s">
        <v>210</v>
      </c>
      <c r="W854" s="78">
        <v>2.0</v>
      </c>
      <c r="X854" s="82">
        <v>1.0</v>
      </c>
      <c r="Y854" s="103" t="s">
        <v>7</v>
      </c>
      <c r="Z854" s="104">
        <v>2.0</v>
      </c>
      <c r="AA854" s="105">
        <v>1.0</v>
      </c>
      <c r="AC854" s="52" t="s">
        <v>41</v>
      </c>
      <c r="AD854" s="52">
        <v>4.0</v>
      </c>
      <c r="AF854" s="52" t="s">
        <v>190</v>
      </c>
      <c r="AG854" s="52">
        <v>1.0</v>
      </c>
    </row>
    <row r="855" ht="14.25" customHeight="1">
      <c r="H855" s="77" t="s">
        <v>274</v>
      </c>
      <c r="I855" s="78">
        <v>1.0</v>
      </c>
      <c r="R855" s="103" t="s">
        <v>190</v>
      </c>
      <c r="S855" s="104">
        <v>1.0</v>
      </c>
      <c r="Y855" s="59"/>
      <c r="Z855" s="59"/>
      <c r="AC855" s="52" t="s">
        <v>49</v>
      </c>
      <c r="AD855" s="52">
        <v>4.0</v>
      </c>
      <c r="AF855" s="52" t="s">
        <v>273</v>
      </c>
      <c r="AG855" s="52">
        <v>1.0</v>
      </c>
    </row>
    <row r="856" ht="14.25" customHeight="1">
      <c r="Y856" s="90"/>
      <c r="Z856" s="90"/>
      <c r="AC856" s="52" t="s">
        <v>289</v>
      </c>
      <c r="AD856" s="52">
        <v>2.0</v>
      </c>
    </row>
    <row r="857" ht="14.25" customHeight="1">
      <c r="Y857" s="56">
        <f>A848+D848+H848+K848+O848+R848+V848+Y848</f>
        <v>44</v>
      </c>
      <c r="Z857" s="3"/>
      <c r="AD857" s="48"/>
      <c r="AG857" s="48"/>
    </row>
    <row r="858" ht="14.25" customHeight="1">
      <c r="AD858" s="48"/>
      <c r="AE858" s="48"/>
      <c r="AF858" s="48"/>
      <c r="AG858" s="48"/>
    </row>
    <row r="859" ht="14.25" customHeight="1"/>
    <row r="860" ht="14.25" customHeight="1">
      <c r="P860" s="8">
        <v>45261.0</v>
      </c>
      <c r="Q860" s="2"/>
      <c r="R860" s="2"/>
      <c r="S860" s="3"/>
    </row>
    <row r="861" ht="14.25" customHeight="1"/>
    <row r="862" ht="14.25" customHeight="1">
      <c r="A862" s="9"/>
      <c r="B862" s="10" t="s">
        <v>321</v>
      </c>
      <c r="C862" s="2"/>
      <c r="D862" s="2"/>
      <c r="E862" s="2"/>
      <c r="F862" s="3"/>
      <c r="H862" s="9">
        <v>14.0</v>
      </c>
      <c r="I862" s="10">
        <v>45272.0</v>
      </c>
      <c r="J862" s="2"/>
      <c r="K862" s="2"/>
      <c r="L862" s="2"/>
      <c r="M862" s="3"/>
      <c r="O862" s="9">
        <v>15.0</v>
      </c>
      <c r="P862" s="10">
        <v>45279.0</v>
      </c>
      <c r="Q862" s="2"/>
      <c r="R862" s="2"/>
      <c r="S862" s="2"/>
      <c r="T862" s="3"/>
      <c r="V862" s="9">
        <v>16.0</v>
      </c>
      <c r="W862" s="10">
        <v>45287.0</v>
      </c>
      <c r="X862" s="2"/>
      <c r="Y862" s="2"/>
      <c r="Z862" s="2"/>
      <c r="AA862" s="3"/>
      <c r="AC862" s="51" t="s">
        <v>322</v>
      </c>
      <c r="AD862" s="2"/>
      <c r="AE862" s="2"/>
      <c r="AF862" s="2"/>
      <c r="AG862" s="3"/>
    </row>
    <row r="863" ht="14.25" customHeight="1">
      <c r="A863" s="204">
        <v>0.0</v>
      </c>
      <c r="B863" s="2"/>
      <c r="C863" s="3"/>
      <c r="D863" s="204">
        <v>0.0</v>
      </c>
      <c r="E863" s="2"/>
      <c r="F863" s="3"/>
      <c r="H863" s="14">
        <v>9.0</v>
      </c>
      <c r="I863" s="2"/>
      <c r="J863" s="3"/>
      <c r="K863" s="39">
        <v>6.0</v>
      </c>
      <c r="L863" s="2"/>
      <c r="M863" s="3"/>
      <c r="O863" s="14">
        <v>3.0</v>
      </c>
      <c r="P863" s="2"/>
      <c r="Q863" s="3"/>
      <c r="R863" s="39">
        <v>3.0</v>
      </c>
      <c r="S863" s="2"/>
      <c r="T863" s="3"/>
      <c r="V863" s="14">
        <v>3.0</v>
      </c>
      <c r="W863" s="2"/>
      <c r="X863" s="3"/>
      <c r="Y863" s="39">
        <v>8.0</v>
      </c>
      <c r="Z863" s="2"/>
      <c r="AA863" s="3"/>
    </row>
    <row r="864" ht="12.0" customHeight="1">
      <c r="A864" s="205"/>
      <c r="B864" s="206" t="s">
        <v>69</v>
      </c>
      <c r="C864" s="207" t="s">
        <v>70</v>
      </c>
      <c r="D864" s="177"/>
      <c r="E864" s="208" t="s">
        <v>69</v>
      </c>
      <c r="F864" s="206" t="s">
        <v>70</v>
      </c>
      <c r="H864" s="66"/>
      <c r="I864" s="61" t="s">
        <v>69</v>
      </c>
      <c r="J864" s="61" t="s">
        <v>70</v>
      </c>
      <c r="K864" s="94"/>
      <c r="L864" s="95" t="s">
        <v>69</v>
      </c>
      <c r="M864" s="96" t="s">
        <v>70</v>
      </c>
      <c r="O864" s="66"/>
      <c r="P864" s="61" t="s">
        <v>69</v>
      </c>
      <c r="Q864" s="62" t="s">
        <v>70</v>
      </c>
      <c r="R864" s="94"/>
      <c r="S864" s="95" t="s">
        <v>69</v>
      </c>
      <c r="T864" s="96" t="s">
        <v>70</v>
      </c>
      <c r="V864" s="66"/>
      <c r="W864" s="61" t="s">
        <v>69</v>
      </c>
      <c r="X864" s="62" t="s">
        <v>70</v>
      </c>
      <c r="Y864" s="94"/>
      <c r="Z864" s="95" t="s">
        <v>69</v>
      </c>
      <c r="AA864" s="96" t="s">
        <v>70</v>
      </c>
      <c r="AC864" s="52" t="s">
        <v>49</v>
      </c>
      <c r="AD864" s="52">
        <v>8.0</v>
      </c>
      <c r="AF864" s="52" t="s">
        <v>134</v>
      </c>
      <c r="AG864" s="52">
        <v>1.0</v>
      </c>
    </row>
    <row r="865" ht="14.25" customHeight="1">
      <c r="A865" s="209"/>
      <c r="B865" s="210"/>
      <c r="C865" s="211"/>
      <c r="D865" s="209"/>
      <c r="E865" s="212"/>
      <c r="F865" s="213"/>
      <c r="H865" s="67" t="s">
        <v>7</v>
      </c>
      <c r="I865" s="68"/>
      <c r="J865" s="191">
        <v>1.0</v>
      </c>
      <c r="K865" s="97" t="s">
        <v>18</v>
      </c>
      <c r="L865" s="98"/>
      <c r="M865" s="99">
        <v>1.0</v>
      </c>
      <c r="O865" s="67" t="s">
        <v>263</v>
      </c>
      <c r="P865" s="68"/>
      <c r="Q865" s="69">
        <v>1.0</v>
      </c>
      <c r="R865" s="97" t="s">
        <v>10</v>
      </c>
      <c r="S865" s="98"/>
      <c r="T865" s="99">
        <v>1.0</v>
      </c>
      <c r="V865" s="67" t="s">
        <v>10</v>
      </c>
      <c r="W865" s="68"/>
      <c r="X865" s="69">
        <v>2.0</v>
      </c>
      <c r="Y865" s="97" t="s">
        <v>4</v>
      </c>
      <c r="Z865" s="98">
        <v>2.0</v>
      </c>
      <c r="AA865" s="99">
        <v>1.0</v>
      </c>
      <c r="AC865" s="52" t="s">
        <v>232</v>
      </c>
      <c r="AD865" s="52">
        <v>6.0</v>
      </c>
      <c r="AF865" s="52" t="s">
        <v>61</v>
      </c>
      <c r="AG865" s="52">
        <v>1.0</v>
      </c>
    </row>
    <row r="866" ht="14.25" customHeight="1">
      <c r="A866" s="214"/>
      <c r="B866" s="215"/>
      <c r="C866" s="211"/>
      <c r="D866" s="214"/>
      <c r="E866" s="216"/>
      <c r="F866" s="217"/>
      <c r="H866" s="72" t="s">
        <v>10</v>
      </c>
      <c r="I866" s="73"/>
      <c r="J866" s="191">
        <v>3.0</v>
      </c>
      <c r="K866" s="100" t="s">
        <v>166</v>
      </c>
      <c r="L866" s="101">
        <v>1.0</v>
      </c>
      <c r="M866" s="102"/>
      <c r="O866" s="72" t="s">
        <v>210</v>
      </c>
      <c r="P866" s="73">
        <v>1.0</v>
      </c>
      <c r="Q866" s="69"/>
      <c r="R866" s="100" t="s">
        <v>153</v>
      </c>
      <c r="S866" s="101">
        <v>1.0</v>
      </c>
      <c r="T866" s="102">
        <v>1.0</v>
      </c>
      <c r="V866" s="72" t="s">
        <v>7</v>
      </c>
      <c r="W866" s="73"/>
      <c r="X866" s="69"/>
      <c r="Y866" s="100" t="s">
        <v>166</v>
      </c>
      <c r="Z866" s="101">
        <v>2.0</v>
      </c>
      <c r="AA866" s="102">
        <v>1.0</v>
      </c>
      <c r="AC866" s="52" t="s">
        <v>289</v>
      </c>
      <c r="AD866" s="52">
        <v>5.0</v>
      </c>
      <c r="AF866" s="52" t="s">
        <v>267</v>
      </c>
      <c r="AG866" s="52">
        <v>1.0</v>
      </c>
    </row>
    <row r="867" ht="14.25" customHeight="1">
      <c r="A867" s="214"/>
      <c r="B867" s="215"/>
      <c r="C867" s="211"/>
      <c r="D867" s="214"/>
      <c r="E867" s="216"/>
      <c r="F867" s="217"/>
      <c r="H867" s="72" t="s">
        <v>296</v>
      </c>
      <c r="I867" s="73">
        <v>3.0</v>
      </c>
      <c r="J867" s="191"/>
      <c r="K867" s="100" t="s">
        <v>9</v>
      </c>
      <c r="L867" s="101"/>
      <c r="M867" s="102">
        <v>3.0</v>
      </c>
      <c r="O867" s="72" t="s">
        <v>17</v>
      </c>
      <c r="P867" s="73">
        <v>1.0</v>
      </c>
      <c r="Q867" s="69"/>
      <c r="R867" s="100" t="s">
        <v>7</v>
      </c>
      <c r="S867" s="101"/>
      <c r="T867" s="102"/>
      <c r="V867" s="72" t="s">
        <v>5</v>
      </c>
      <c r="W867" s="73">
        <v>1.0</v>
      </c>
      <c r="X867" s="69"/>
      <c r="Y867" s="100" t="s">
        <v>263</v>
      </c>
      <c r="Z867" s="101">
        <v>1.0</v>
      </c>
      <c r="AA867" s="102"/>
      <c r="AC867" s="52" t="s">
        <v>297</v>
      </c>
      <c r="AD867" s="52">
        <v>3.0</v>
      </c>
      <c r="AF867" s="52" t="s">
        <v>38</v>
      </c>
      <c r="AG867" s="52">
        <v>1.0</v>
      </c>
    </row>
    <row r="868" ht="14.25" customHeight="1">
      <c r="A868" s="214"/>
      <c r="B868" s="215"/>
      <c r="C868" s="211"/>
      <c r="D868" s="214"/>
      <c r="E868" s="216"/>
      <c r="F868" s="217"/>
      <c r="H868" s="72" t="s">
        <v>4</v>
      </c>
      <c r="I868" s="73">
        <v>4.0</v>
      </c>
      <c r="J868" s="191"/>
      <c r="K868" s="218" t="s">
        <v>323</v>
      </c>
      <c r="L868" s="101">
        <v>1.0</v>
      </c>
      <c r="M868" s="102"/>
      <c r="O868" s="72" t="s">
        <v>9</v>
      </c>
      <c r="P868" s="73">
        <v>1.0</v>
      </c>
      <c r="Q868" s="69"/>
      <c r="R868" s="100" t="s">
        <v>278</v>
      </c>
      <c r="S868" s="101"/>
      <c r="T868" s="102"/>
      <c r="V868" s="72" t="s">
        <v>20</v>
      </c>
      <c r="W868" s="73">
        <v>1.0</v>
      </c>
      <c r="X868" s="69"/>
      <c r="Y868" s="100" t="s">
        <v>18</v>
      </c>
      <c r="Z868" s="101"/>
      <c r="AA868" s="102">
        <v>1.0</v>
      </c>
      <c r="AC868" s="52" t="s">
        <v>203</v>
      </c>
      <c r="AD868" s="52">
        <v>3.0</v>
      </c>
      <c r="AF868" s="52" t="s">
        <v>277</v>
      </c>
      <c r="AG868" s="52">
        <v>1.0</v>
      </c>
    </row>
    <row r="869" ht="14.25" customHeight="1">
      <c r="A869" s="219"/>
      <c r="B869" s="220"/>
      <c r="C869" s="165"/>
      <c r="D869" s="163"/>
      <c r="E869" s="221"/>
      <c r="F869" s="222"/>
      <c r="H869" s="77" t="s">
        <v>153</v>
      </c>
      <c r="I869" s="78">
        <v>2.0</v>
      </c>
      <c r="J869" s="190">
        <v>3.0</v>
      </c>
      <c r="K869" s="103" t="s">
        <v>210</v>
      </c>
      <c r="L869" s="104">
        <v>4.0</v>
      </c>
      <c r="M869" s="105"/>
      <c r="O869" s="77" t="s">
        <v>166</v>
      </c>
      <c r="P869" s="78"/>
      <c r="Q869" s="190">
        <v>2.0</v>
      </c>
      <c r="R869" s="103" t="s">
        <v>4</v>
      </c>
      <c r="S869" s="104">
        <v>2.0</v>
      </c>
      <c r="T869" s="105">
        <v>1.0</v>
      </c>
      <c r="V869" s="77" t="s">
        <v>278</v>
      </c>
      <c r="W869" s="78">
        <v>1.0</v>
      </c>
      <c r="X869" s="82">
        <v>1.0</v>
      </c>
      <c r="Y869" s="103" t="s">
        <v>153</v>
      </c>
      <c r="Z869" s="104">
        <v>3.0</v>
      </c>
      <c r="AA869" s="105">
        <v>2.0</v>
      </c>
      <c r="AC869" s="223" t="s">
        <v>324</v>
      </c>
      <c r="AD869" s="52">
        <v>1.0</v>
      </c>
      <c r="AF869" s="52" t="s">
        <v>8</v>
      </c>
      <c r="AG869" s="52">
        <v>1.0</v>
      </c>
    </row>
    <row r="870" ht="14.25" customHeight="1">
      <c r="Y870" s="59"/>
      <c r="Z870" s="59"/>
      <c r="AD870" s="48"/>
      <c r="AG870" s="48"/>
    </row>
    <row r="871" ht="14.25" customHeight="1">
      <c r="Y871" s="90"/>
      <c r="Z871" s="90"/>
    </row>
    <row r="872" ht="14.25" customHeight="1">
      <c r="Y872" s="56">
        <f>A863+D863+H863+K863+O863+R863+V863+Y863</f>
        <v>32</v>
      </c>
      <c r="Z872" s="3"/>
      <c r="AD872" s="48"/>
      <c r="AG872" s="48"/>
    </row>
    <row r="873" ht="14.25" customHeight="1"/>
    <row r="874" ht="14.25" customHeight="1"/>
    <row r="875" ht="14.25" customHeight="1">
      <c r="P875" s="8">
        <v>45292.0</v>
      </c>
      <c r="Q875" s="2"/>
      <c r="R875" s="2"/>
      <c r="S875" s="3"/>
    </row>
    <row r="876" ht="14.25" customHeight="1"/>
    <row r="877" ht="14.25" customHeight="1">
      <c r="A877" s="9">
        <v>17.0</v>
      </c>
      <c r="B877" s="10">
        <v>45293.0</v>
      </c>
      <c r="C877" s="2"/>
      <c r="D877" s="2"/>
      <c r="E877" s="2"/>
      <c r="F877" s="3"/>
      <c r="H877" s="9">
        <v>18.0</v>
      </c>
      <c r="I877" s="10">
        <v>45301.0</v>
      </c>
      <c r="J877" s="2"/>
      <c r="K877" s="2"/>
      <c r="L877" s="2"/>
      <c r="M877" s="3"/>
      <c r="O877" s="9">
        <v>19.0</v>
      </c>
      <c r="P877" s="10">
        <v>45307.0</v>
      </c>
      <c r="Q877" s="2"/>
      <c r="R877" s="2"/>
      <c r="S877" s="2"/>
      <c r="T877" s="3"/>
      <c r="V877" s="9">
        <v>20.0</v>
      </c>
      <c r="W877" s="10">
        <v>45314.0</v>
      </c>
      <c r="X877" s="2"/>
      <c r="Y877" s="2"/>
      <c r="Z877" s="2"/>
      <c r="AA877" s="3"/>
      <c r="AC877" s="9">
        <v>21.0</v>
      </c>
      <c r="AD877" s="10">
        <v>45321.0</v>
      </c>
      <c r="AE877" s="2"/>
      <c r="AF877" s="2"/>
      <c r="AG877" s="2"/>
      <c r="AH877" s="3"/>
    </row>
    <row r="878" ht="14.25" customHeight="1">
      <c r="A878" s="14">
        <v>2.0</v>
      </c>
      <c r="B878" s="2"/>
      <c r="C878" s="3"/>
      <c r="D878" s="39">
        <v>3.0</v>
      </c>
      <c r="E878" s="2"/>
      <c r="F878" s="3"/>
      <c r="H878" s="14">
        <v>2.0</v>
      </c>
      <c r="I878" s="2"/>
      <c r="J878" s="3"/>
      <c r="K878" s="39">
        <v>5.0</v>
      </c>
      <c r="L878" s="2"/>
      <c r="M878" s="3"/>
      <c r="O878" s="14">
        <v>8.0</v>
      </c>
      <c r="P878" s="2"/>
      <c r="Q878" s="3"/>
      <c r="R878" s="39">
        <v>7.0</v>
      </c>
      <c r="S878" s="2"/>
      <c r="T878" s="3"/>
      <c r="V878" s="14">
        <v>6.0</v>
      </c>
      <c r="W878" s="2"/>
      <c r="X878" s="3"/>
      <c r="Y878" s="39">
        <v>8.0</v>
      </c>
      <c r="Z878" s="2"/>
      <c r="AA878" s="3"/>
      <c r="AC878" s="14">
        <v>4.0</v>
      </c>
      <c r="AD878" s="2"/>
      <c r="AE878" s="3"/>
      <c r="AF878" s="39">
        <v>2.0</v>
      </c>
      <c r="AG878" s="2"/>
      <c r="AH878" s="3"/>
    </row>
    <row r="879" ht="12.0" customHeight="1">
      <c r="A879" s="66"/>
      <c r="B879" s="61" t="s">
        <v>69</v>
      </c>
      <c r="C879" s="62" t="s">
        <v>70</v>
      </c>
      <c r="D879" s="94"/>
      <c r="E879" s="95" t="s">
        <v>69</v>
      </c>
      <c r="F879" s="96" t="s">
        <v>70</v>
      </c>
      <c r="H879" s="66"/>
      <c r="I879" s="61" t="s">
        <v>69</v>
      </c>
      <c r="J879" s="62" t="s">
        <v>70</v>
      </c>
      <c r="K879" s="94"/>
      <c r="L879" s="95" t="s">
        <v>69</v>
      </c>
      <c r="M879" s="96" t="s">
        <v>70</v>
      </c>
      <c r="O879" s="66"/>
      <c r="P879" s="61" t="s">
        <v>69</v>
      </c>
      <c r="Q879" s="62" t="s">
        <v>70</v>
      </c>
      <c r="R879" s="94"/>
      <c r="S879" s="95" t="s">
        <v>69</v>
      </c>
      <c r="T879" s="96" t="s">
        <v>70</v>
      </c>
      <c r="V879" s="66"/>
      <c r="W879" s="61" t="s">
        <v>69</v>
      </c>
      <c r="X879" s="62" t="s">
        <v>70</v>
      </c>
      <c r="Y879" s="94"/>
      <c r="Z879" s="95" t="s">
        <v>69</v>
      </c>
      <c r="AA879" s="96" t="s">
        <v>70</v>
      </c>
      <c r="AC879" s="66"/>
      <c r="AD879" s="61" t="s">
        <v>69</v>
      </c>
      <c r="AE879" s="62" t="s">
        <v>70</v>
      </c>
      <c r="AF879" s="94"/>
      <c r="AG879" s="95" t="s">
        <v>69</v>
      </c>
      <c r="AH879" s="96" t="s">
        <v>70</v>
      </c>
    </row>
    <row r="880" ht="14.25" customHeight="1">
      <c r="A880" s="67" t="s">
        <v>18</v>
      </c>
      <c r="B880" s="68"/>
      <c r="C880" s="69">
        <v>1.0</v>
      </c>
      <c r="D880" s="97" t="s">
        <v>10</v>
      </c>
      <c r="E880" s="98"/>
      <c r="F880" s="99">
        <v>1.0</v>
      </c>
      <c r="H880" s="67" t="s">
        <v>7</v>
      </c>
      <c r="I880" s="68"/>
      <c r="J880" s="69"/>
      <c r="K880" s="97" t="s">
        <v>10</v>
      </c>
      <c r="L880" s="98">
        <v>1.0</v>
      </c>
      <c r="M880" s="99"/>
      <c r="O880" s="67" t="s">
        <v>10</v>
      </c>
      <c r="P880" s="68">
        <v>1.0</v>
      </c>
      <c r="Q880" s="69">
        <v>2.0</v>
      </c>
      <c r="R880" s="97" t="s">
        <v>166</v>
      </c>
      <c r="S880" s="98">
        <v>2.0</v>
      </c>
      <c r="T880" s="99">
        <v>1.0</v>
      </c>
      <c r="V880" s="67" t="s">
        <v>18</v>
      </c>
      <c r="W880" s="68">
        <v>1.0</v>
      </c>
      <c r="X880" s="69"/>
      <c r="Y880" s="97" t="s">
        <v>10</v>
      </c>
      <c r="Z880" s="98"/>
      <c r="AA880" s="99"/>
      <c r="AC880" s="67" t="s">
        <v>10</v>
      </c>
      <c r="AD880" s="68"/>
      <c r="AE880" s="69">
        <v>1.0</v>
      </c>
      <c r="AF880" s="97" t="s">
        <v>18</v>
      </c>
      <c r="AG880" s="98">
        <v>1.0</v>
      </c>
      <c r="AH880" s="99"/>
    </row>
    <row r="881" ht="14.25" customHeight="1">
      <c r="A881" s="72" t="s">
        <v>7</v>
      </c>
      <c r="B881" s="73"/>
      <c r="C881" s="69"/>
      <c r="D881" s="100" t="s">
        <v>9</v>
      </c>
      <c r="E881" s="101">
        <v>2.0</v>
      </c>
      <c r="F881" s="102"/>
      <c r="H881" s="72" t="s">
        <v>17</v>
      </c>
      <c r="I881" s="73"/>
      <c r="J881" s="69">
        <v>1.0</v>
      </c>
      <c r="K881" s="100" t="s">
        <v>18</v>
      </c>
      <c r="L881" s="101"/>
      <c r="M881" s="102"/>
      <c r="O881" s="72" t="s">
        <v>5</v>
      </c>
      <c r="P881" s="73"/>
      <c r="Q881" s="69">
        <v>1.0</v>
      </c>
      <c r="R881" s="100" t="s">
        <v>263</v>
      </c>
      <c r="S881" s="101">
        <v>1.0</v>
      </c>
      <c r="T881" s="102">
        <v>1.0</v>
      </c>
      <c r="V881" s="72" t="s">
        <v>263</v>
      </c>
      <c r="W881" s="73"/>
      <c r="X881" s="69">
        <v>1.0</v>
      </c>
      <c r="Y881" s="100" t="s">
        <v>20</v>
      </c>
      <c r="Z881" s="101">
        <v>1.0</v>
      </c>
      <c r="AA881" s="102"/>
      <c r="AC881" s="72" t="s">
        <v>5</v>
      </c>
      <c r="AD881" s="73"/>
      <c r="AE881" s="69">
        <v>2.0</v>
      </c>
      <c r="AF881" s="100" t="s">
        <v>17</v>
      </c>
      <c r="AG881" s="101"/>
      <c r="AH881" s="102"/>
    </row>
    <row r="882" ht="14.25" customHeight="1">
      <c r="A882" s="72" t="s">
        <v>17</v>
      </c>
      <c r="B882" s="73"/>
      <c r="C882" s="69">
        <v>1.0</v>
      </c>
      <c r="D882" s="100" t="s">
        <v>296</v>
      </c>
      <c r="E882" s="101">
        <v>1.0</v>
      </c>
      <c r="F882" s="102"/>
      <c r="H882" s="72" t="s">
        <v>263</v>
      </c>
      <c r="I882" s="73"/>
      <c r="J882" s="69"/>
      <c r="K882" s="100" t="s">
        <v>278</v>
      </c>
      <c r="L882" s="101">
        <v>1.0</v>
      </c>
      <c r="M882" s="102"/>
      <c r="O882" s="72" t="s">
        <v>7</v>
      </c>
      <c r="P882" s="73">
        <v>2.0</v>
      </c>
      <c r="Q882" s="69">
        <v>1.0</v>
      </c>
      <c r="R882" s="100" t="s">
        <v>278</v>
      </c>
      <c r="S882" s="101">
        <v>2.0</v>
      </c>
      <c r="T882" s="102">
        <v>2.0</v>
      </c>
      <c r="V882" s="72" t="s">
        <v>4</v>
      </c>
      <c r="W882" s="73">
        <v>1.0</v>
      </c>
      <c r="X882" s="69"/>
      <c r="Y882" s="100" t="s">
        <v>7</v>
      </c>
      <c r="Z882" s="101"/>
      <c r="AA882" s="102">
        <v>1.0</v>
      </c>
      <c r="AC882" s="72" t="s">
        <v>7</v>
      </c>
      <c r="AD882" s="73"/>
      <c r="AE882" s="69"/>
      <c r="AF882" s="100" t="s">
        <v>263</v>
      </c>
      <c r="AG882" s="101"/>
      <c r="AH882" s="102">
        <v>1.0</v>
      </c>
    </row>
    <row r="883" ht="14.25" customHeight="1">
      <c r="A883" s="72" t="s">
        <v>153</v>
      </c>
      <c r="B883" s="73">
        <v>1.0</v>
      </c>
      <c r="C883" s="69"/>
      <c r="D883" s="100" t="s">
        <v>166</v>
      </c>
      <c r="E883" s="101"/>
      <c r="F883" s="102"/>
      <c r="H883" s="72" t="s">
        <v>5</v>
      </c>
      <c r="I883" s="73">
        <v>1.0</v>
      </c>
      <c r="J883" s="69"/>
      <c r="K883" s="100" t="s">
        <v>20</v>
      </c>
      <c r="L883" s="101">
        <v>1.0</v>
      </c>
      <c r="M883" s="102">
        <v>2.0</v>
      </c>
      <c r="O883" s="72" t="s">
        <v>4</v>
      </c>
      <c r="P883" s="73">
        <v>2.0</v>
      </c>
      <c r="Q883" s="69"/>
      <c r="R883" s="100" t="s">
        <v>17</v>
      </c>
      <c r="S883" s="101"/>
      <c r="T883" s="102">
        <v>2.0</v>
      </c>
      <c r="V883" s="72" t="s">
        <v>166</v>
      </c>
      <c r="W883" s="73">
        <v>2.0</v>
      </c>
      <c r="X883" s="69">
        <v>1.0</v>
      </c>
      <c r="Y883" s="100" t="s">
        <v>278</v>
      </c>
      <c r="Z883" s="101">
        <v>4.0</v>
      </c>
      <c r="AA883" s="102"/>
      <c r="AC883" s="72" t="s">
        <v>20</v>
      </c>
      <c r="AD883" s="73"/>
      <c r="AE883" s="69">
        <v>1.0</v>
      </c>
      <c r="AF883" s="100" t="s">
        <v>4</v>
      </c>
      <c r="AG883" s="101"/>
      <c r="AH883" s="102">
        <v>1.0</v>
      </c>
    </row>
    <row r="884" ht="14.25" customHeight="1">
      <c r="A884" s="77" t="s">
        <v>4</v>
      </c>
      <c r="B884" s="78">
        <v>1.0</v>
      </c>
      <c r="C884" s="82"/>
      <c r="D884" s="103" t="s">
        <v>5</v>
      </c>
      <c r="E884" s="104"/>
      <c r="F884" s="105"/>
      <c r="H884" s="77" t="s">
        <v>166</v>
      </c>
      <c r="I884" s="78">
        <v>1.0</v>
      </c>
      <c r="J884" s="82"/>
      <c r="K884" s="103" t="s">
        <v>4</v>
      </c>
      <c r="L884" s="104">
        <v>2.0</v>
      </c>
      <c r="M884" s="105">
        <v>2.0</v>
      </c>
      <c r="O884" s="77" t="s">
        <v>20</v>
      </c>
      <c r="P884" s="78">
        <v>2.0</v>
      </c>
      <c r="Q884" s="82">
        <v>1.0</v>
      </c>
      <c r="R884" s="103" t="s">
        <v>18</v>
      </c>
      <c r="S884" s="104">
        <v>2.0</v>
      </c>
      <c r="T884" s="105"/>
      <c r="V884" s="77" t="s">
        <v>5</v>
      </c>
      <c r="W884" s="78">
        <v>2.0</v>
      </c>
      <c r="X884" s="82">
        <v>1.0</v>
      </c>
      <c r="Y884" s="103" t="s">
        <v>17</v>
      </c>
      <c r="Z884" s="104">
        <v>1.0</v>
      </c>
      <c r="AA884" s="105">
        <v>1.0</v>
      </c>
      <c r="AC884" s="77" t="s">
        <v>278</v>
      </c>
      <c r="AD884" s="78">
        <v>4.0</v>
      </c>
      <c r="AE884" s="82"/>
      <c r="AF884" s="103" t="s">
        <v>11</v>
      </c>
      <c r="AG884" s="104">
        <v>1.0</v>
      </c>
      <c r="AH884" s="105"/>
    </row>
    <row r="885" ht="14.25" customHeight="1">
      <c r="O885" s="77" t="s">
        <v>114</v>
      </c>
      <c r="P885" s="78">
        <v>1.0</v>
      </c>
      <c r="Y885" s="103" t="s">
        <v>325</v>
      </c>
      <c r="Z885" s="104">
        <v>1.0</v>
      </c>
    </row>
    <row r="886" ht="14.25" customHeight="1">
      <c r="Y886" s="103" t="s">
        <v>261</v>
      </c>
      <c r="Z886" s="104">
        <v>1.0</v>
      </c>
    </row>
    <row r="887" ht="14.25" customHeight="1">
      <c r="V887" s="90"/>
      <c r="W887" s="90"/>
      <c r="X887" s="90"/>
      <c r="Y887" s="90"/>
      <c r="Z887" s="90"/>
    </row>
    <row r="888" ht="14.25" customHeight="1">
      <c r="A888" s="146"/>
      <c r="B888" s="146"/>
      <c r="C888" s="146"/>
      <c r="D888" s="51" t="s">
        <v>326</v>
      </c>
      <c r="E888" s="2"/>
      <c r="F888" s="2"/>
      <c r="G888" s="2"/>
      <c r="H888" s="3"/>
      <c r="O888" s="135"/>
      <c r="V888" s="55" t="s">
        <v>3</v>
      </c>
      <c r="W888" s="2"/>
      <c r="X888" s="3"/>
      <c r="Y888" s="56">
        <f>A878+D878+H878+K878+O878+R878+V878+Y878+AC878+AF878</f>
        <v>47</v>
      </c>
      <c r="Z888" s="3"/>
    </row>
    <row r="889" ht="14.25" customHeight="1"/>
    <row r="890" ht="14.25" customHeight="1">
      <c r="D890" s="52" t="s">
        <v>277</v>
      </c>
      <c r="E890" s="52">
        <v>11.0</v>
      </c>
      <c r="H890" s="52" t="s">
        <v>82</v>
      </c>
      <c r="I890" s="52">
        <v>2.0</v>
      </c>
    </row>
    <row r="891" ht="14.25" customHeight="1">
      <c r="D891" s="52" t="s">
        <v>49</v>
      </c>
      <c r="E891" s="52">
        <v>6.0</v>
      </c>
      <c r="H891" s="52" t="s">
        <v>232</v>
      </c>
      <c r="I891" s="52">
        <v>1.0</v>
      </c>
    </row>
    <row r="892" ht="14.25" customHeight="1">
      <c r="D892" s="52" t="s">
        <v>203</v>
      </c>
      <c r="E892" s="52">
        <v>5.0</v>
      </c>
      <c r="H892" s="52" t="s">
        <v>297</v>
      </c>
      <c r="I892" s="52">
        <v>1.0</v>
      </c>
    </row>
    <row r="893" ht="14.25" customHeight="1">
      <c r="D893" s="52" t="s">
        <v>38</v>
      </c>
      <c r="E893" s="52">
        <v>4.0</v>
      </c>
      <c r="H893" s="52" t="s">
        <v>267</v>
      </c>
      <c r="I893" s="52">
        <v>1.0</v>
      </c>
    </row>
    <row r="894" ht="14.25" customHeight="1">
      <c r="D894" s="52" t="s">
        <v>91</v>
      </c>
      <c r="E894" s="52">
        <v>4.0</v>
      </c>
      <c r="H894" s="52" t="s">
        <v>41</v>
      </c>
      <c r="I894" s="52">
        <v>1.0</v>
      </c>
    </row>
    <row r="895" ht="14.25" customHeight="1">
      <c r="D895" s="52" t="s">
        <v>8</v>
      </c>
      <c r="E895" s="52">
        <v>3.0</v>
      </c>
      <c r="H895" s="90" t="s">
        <v>61</v>
      </c>
      <c r="I895" s="90">
        <v>1.0</v>
      </c>
    </row>
    <row r="896" ht="14.25" customHeight="1">
      <c r="D896" s="52" t="s">
        <v>134</v>
      </c>
      <c r="E896" s="52">
        <v>2.0</v>
      </c>
      <c r="H896" s="52" t="s">
        <v>114</v>
      </c>
      <c r="I896" s="52">
        <v>2.0</v>
      </c>
    </row>
    <row r="897" ht="14.25" customHeight="1">
      <c r="D897" s="52" t="s">
        <v>29</v>
      </c>
      <c r="E897" s="52">
        <v>2.0</v>
      </c>
      <c r="H897" s="52" t="s">
        <v>261</v>
      </c>
      <c r="I897" s="52">
        <v>1.0</v>
      </c>
    </row>
    <row r="898" ht="14.25" customHeight="1">
      <c r="E898" s="48"/>
      <c r="I898" s="48"/>
    </row>
    <row r="899" ht="14.25" customHeight="1"/>
    <row r="900" ht="14.25" customHeight="1">
      <c r="P900" s="8">
        <v>45323.0</v>
      </c>
      <c r="Q900" s="2"/>
      <c r="R900" s="2"/>
      <c r="S900" s="3"/>
    </row>
    <row r="901" ht="14.25" customHeight="1"/>
    <row r="902" ht="14.25" customHeight="1">
      <c r="A902" s="9">
        <v>22.0</v>
      </c>
      <c r="B902" s="10">
        <v>45328.0</v>
      </c>
      <c r="C902" s="2"/>
      <c r="D902" s="2"/>
      <c r="E902" s="2"/>
      <c r="F902" s="3"/>
      <c r="H902" s="9">
        <v>23.0</v>
      </c>
      <c r="I902" s="10">
        <v>45335.0</v>
      </c>
      <c r="J902" s="2"/>
      <c r="K902" s="2"/>
      <c r="L902" s="2"/>
      <c r="M902" s="3"/>
      <c r="O902" s="9">
        <v>24.0</v>
      </c>
      <c r="P902" s="10">
        <v>45342.0</v>
      </c>
      <c r="Q902" s="2"/>
      <c r="R902" s="2"/>
      <c r="S902" s="2"/>
      <c r="T902" s="3"/>
      <c r="V902" s="9">
        <v>25.0</v>
      </c>
      <c r="W902" s="10">
        <v>45349.0</v>
      </c>
      <c r="X902" s="2"/>
      <c r="Y902" s="2"/>
      <c r="Z902" s="2"/>
      <c r="AA902" s="3"/>
      <c r="AC902" s="51" t="s">
        <v>327</v>
      </c>
      <c r="AD902" s="2"/>
      <c r="AE902" s="2"/>
      <c r="AF902" s="2"/>
      <c r="AG902" s="3"/>
    </row>
    <row r="903" ht="14.25" customHeight="1">
      <c r="A903" s="14">
        <v>6.0</v>
      </c>
      <c r="B903" s="2"/>
      <c r="C903" s="3"/>
      <c r="D903" s="39">
        <v>2.0</v>
      </c>
      <c r="E903" s="2"/>
      <c r="F903" s="3"/>
      <c r="H903" s="14">
        <v>5.0</v>
      </c>
      <c r="I903" s="2"/>
      <c r="J903" s="3"/>
      <c r="K903" s="39">
        <v>6.0</v>
      </c>
      <c r="L903" s="2"/>
      <c r="M903" s="3"/>
      <c r="O903" s="14">
        <v>5.0</v>
      </c>
      <c r="P903" s="2"/>
      <c r="Q903" s="3"/>
      <c r="R903" s="39">
        <v>3.0</v>
      </c>
      <c r="S903" s="2"/>
      <c r="T903" s="3"/>
      <c r="V903" s="14">
        <v>10.0</v>
      </c>
      <c r="W903" s="2"/>
      <c r="X903" s="3"/>
      <c r="Y903" s="39">
        <v>6.0</v>
      </c>
      <c r="Z903" s="2"/>
      <c r="AA903" s="3"/>
    </row>
    <row r="904" ht="12.0" customHeight="1">
      <c r="A904" s="60"/>
      <c r="B904" s="61" t="s">
        <v>69</v>
      </c>
      <c r="C904" s="62" t="s">
        <v>70</v>
      </c>
      <c r="D904" s="94"/>
      <c r="E904" s="95" t="s">
        <v>69</v>
      </c>
      <c r="F904" s="96" t="s">
        <v>70</v>
      </c>
      <c r="H904" s="66"/>
      <c r="I904" s="61" t="s">
        <v>69</v>
      </c>
      <c r="J904" s="61" t="s">
        <v>70</v>
      </c>
      <c r="K904" s="94"/>
      <c r="L904" s="95" t="s">
        <v>69</v>
      </c>
      <c r="M904" s="96" t="s">
        <v>70</v>
      </c>
      <c r="O904" s="66"/>
      <c r="P904" s="61" t="s">
        <v>69</v>
      </c>
      <c r="Q904" s="62" t="s">
        <v>70</v>
      </c>
      <c r="R904" s="94"/>
      <c r="S904" s="95" t="s">
        <v>69</v>
      </c>
      <c r="T904" s="96" t="s">
        <v>70</v>
      </c>
      <c r="V904" s="66"/>
      <c r="W904" s="61" t="s">
        <v>69</v>
      </c>
      <c r="X904" s="62" t="s">
        <v>70</v>
      </c>
      <c r="Y904" s="94"/>
      <c r="Z904" s="95" t="s">
        <v>69</v>
      </c>
      <c r="AA904" s="96" t="s">
        <v>70</v>
      </c>
      <c r="AC904" s="52" t="s">
        <v>277</v>
      </c>
      <c r="AD904" s="52">
        <v>10.0</v>
      </c>
      <c r="AF904" s="52" t="s">
        <v>203</v>
      </c>
      <c r="AG904" s="52">
        <v>2.0</v>
      </c>
    </row>
    <row r="905" ht="14.25" customHeight="1">
      <c r="A905" s="67" t="s">
        <v>20</v>
      </c>
      <c r="B905" s="68">
        <v>1.0</v>
      </c>
      <c r="C905" s="69"/>
      <c r="D905" s="97" t="s">
        <v>5</v>
      </c>
      <c r="E905" s="98"/>
      <c r="F905" s="99"/>
      <c r="H905" s="67" t="s">
        <v>10</v>
      </c>
      <c r="I905" s="68"/>
      <c r="J905" s="191">
        <v>2.0</v>
      </c>
      <c r="K905" s="97" t="s">
        <v>18</v>
      </c>
      <c r="L905" s="98"/>
      <c r="M905" s="99"/>
      <c r="O905" s="67" t="s">
        <v>18</v>
      </c>
      <c r="P905" s="68"/>
      <c r="Q905" s="69">
        <v>1.0</v>
      </c>
      <c r="R905" s="97" t="s">
        <v>10</v>
      </c>
      <c r="S905" s="98"/>
      <c r="T905" s="99">
        <v>2.0</v>
      </c>
      <c r="V905" s="67" t="s">
        <v>10</v>
      </c>
      <c r="W905" s="68">
        <v>1.0</v>
      </c>
      <c r="X905" s="69">
        <v>3.0</v>
      </c>
      <c r="Y905" s="97" t="s">
        <v>18</v>
      </c>
      <c r="Z905" s="98"/>
      <c r="AA905" s="99">
        <v>1.0</v>
      </c>
      <c r="AC905" s="52" t="s">
        <v>8</v>
      </c>
      <c r="AD905" s="52">
        <v>7.0</v>
      </c>
      <c r="AF905" s="52" t="s">
        <v>266</v>
      </c>
      <c r="AG905" s="52">
        <v>1.0</v>
      </c>
    </row>
    <row r="906" ht="14.25" customHeight="1">
      <c r="A906" s="72" t="s">
        <v>153</v>
      </c>
      <c r="B906" s="73">
        <v>1.0</v>
      </c>
      <c r="C906" s="69">
        <v>1.0</v>
      </c>
      <c r="D906" s="100" t="s">
        <v>4</v>
      </c>
      <c r="E906" s="101"/>
      <c r="F906" s="102"/>
      <c r="H906" s="72" t="s">
        <v>7</v>
      </c>
      <c r="I906" s="73">
        <v>1.0</v>
      </c>
      <c r="J906" s="191">
        <v>1.0</v>
      </c>
      <c r="K906" s="100" t="s">
        <v>211</v>
      </c>
      <c r="L906" s="101">
        <v>1.0</v>
      </c>
      <c r="M906" s="102">
        <v>1.0</v>
      </c>
      <c r="O906" s="72" t="s">
        <v>17</v>
      </c>
      <c r="P906" s="73">
        <v>2.0</v>
      </c>
      <c r="Q906" s="69"/>
      <c r="R906" s="100" t="s">
        <v>5</v>
      </c>
      <c r="S906" s="101">
        <v>2.0</v>
      </c>
      <c r="T906" s="102"/>
      <c r="V906" s="72" t="s">
        <v>7</v>
      </c>
      <c r="W906" s="73"/>
      <c r="X906" s="69"/>
      <c r="Y906" s="100" t="s">
        <v>263</v>
      </c>
      <c r="Z906" s="101">
        <v>2.0</v>
      </c>
      <c r="AA906" s="102"/>
      <c r="AC906" s="52" t="s">
        <v>61</v>
      </c>
      <c r="AD906" s="52">
        <v>6.0</v>
      </c>
      <c r="AF906" s="52" t="s">
        <v>232</v>
      </c>
      <c r="AG906" s="52">
        <v>1.0</v>
      </c>
    </row>
    <row r="907" ht="14.25" customHeight="1">
      <c r="A907" s="72" t="s">
        <v>263</v>
      </c>
      <c r="B907" s="73">
        <v>1.0</v>
      </c>
      <c r="C907" s="69">
        <v>2.0</v>
      </c>
      <c r="D907" s="100" t="s">
        <v>10</v>
      </c>
      <c r="E907" s="101">
        <v>1.0</v>
      </c>
      <c r="F907" s="102"/>
      <c r="H907" s="72" t="s">
        <v>5</v>
      </c>
      <c r="I907" s="73">
        <v>1.0</v>
      </c>
      <c r="J907" s="191"/>
      <c r="K907" s="100" t="s">
        <v>17</v>
      </c>
      <c r="L907" s="101">
        <v>3.0</v>
      </c>
      <c r="M907" s="102"/>
      <c r="O907" s="72" t="s">
        <v>278</v>
      </c>
      <c r="P907" s="73">
        <v>2.0</v>
      </c>
      <c r="Q907" s="69">
        <v>1.0</v>
      </c>
      <c r="R907" s="100" t="s">
        <v>7</v>
      </c>
      <c r="S907" s="101"/>
      <c r="T907" s="102"/>
      <c r="V907" s="72" t="s">
        <v>278</v>
      </c>
      <c r="W907" s="73">
        <v>3.0</v>
      </c>
      <c r="X907" s="69">
        <v>1.0</v>
      </c>
      <c r="Y907" s="100" t="s">
        <v>4</v>
      </c>
      <c r="Z907" s="101">
        <v>2.0</v>
      </c>
      <c r="AA907" s="102"/>
      <c r="AC907" s="52" t="s">
        <v>267</v>
      </c>
      <c r="AD907" s="52">
        <v>6.0</v>
      </c>
      <c r="AF907" s="52" t="s">
        <v>38</v>
      </c>
      <c r="AG907" s="52">
        <v>1.0</v>
      </c>
    </row>
    <row r="908" ht="14.25" customHeight="1">
      <c r="A908" s="72" t="s">
        <v>17</v>
      </c>
      <c r="B908" s="73">
        <v>1.0</v>
      </c>
      <c r="C908" s="69"/>
      <c r="D908" s="100" t="s">
        <v>18</v>
      </c>
      <c r="E908" s="101"/>
      <c r="F908" s="102"/>
      <c r="H908" s="72" t="s">
        <v>278</v>
      </c>
      <c r="I908" s="73">
        <v>3.0</v>
      </c>
      <c r="J908" s="191"/>
      <c r="K908" s="100" t="s">
        <v>263</v>
      </c>
      <c r="L908" s="101">
        <v>2.0</v>
      </c>
      <c r="M908" s="102">
        <v>1.0</v>
      </c>
      <c r="O908" s="72" t="s">
        <v>4</v>
      </c>
      <c r="P908" s="73"/>
      <c r="Q908" s="69">
        <v>1.0</v>
      </c>
      <c r="R908" s="100" t="s">
        <v>20</v>
      </c>
      <c r="S908" s="101"/>
      <c r="T908" s="102">
        <v>1.0</v>
      </c>
      <c r="V908" s="72" t="s">
        <v>5</v>
      </c>
      <c r="W908" s="73">
        <v>4.0</v>
      </c>
      <c r="X908" s="69">
        <v>1.0</v>
      </c>
      <c r="Y908" s="100" t="s">
        <v>166</v>
      </c>
      <c r="Z908" s="101">
        <v>2.0</v>
      </c>
      <c r="AA908" s="102"/>
      <c r="AC908" s="52" t="s">
        <v>297</v>
      </c>
      <c r="AD908" s="52">
        <v>2.0</v>
      </c>
      <c r="AF908" s="90" t="s">
        <v>29</v>
      </c>
      <c r="AG908" s="90">
        <v>1.0</v>
      </c>
    </row>
    <row r="909" ht="14.25" customHeight="1">
      <c r="A909" s="77" t="s">
        <v>278</v>
      </c>
      <c r="B909" s="78">
        <v>2.0</v>
      </c>
      <c r="C909" s="82">
        <v>1.0</v>
      </c>
      <c r="D909" s="103" t="s">
        <v>166</v>
      </c>
      <c r="E909" s="104"/>
      <c r="F909" s="105"/>
      <c r="H909" s="77" t="s">
        <v>166</v>
      </c>
      <c r="I909" s="78"/>
      <c r="J909" s="190">
        <v>1.0</v>
      </c>
      <c r="K909" s="103" t="s">
        <v>20</v>
      </c>
      <c r="L909" s="104"/>
      <c r="M909" s="105">
        <v>2.0</v>
      </c>
      <c r="O909" s="77" t="s">
        <v>166</v>
      </c>
      <c r="P909" s="78"/>
      <c r="Q909" s="190">
        <v>1.0</v>
      </c>
      <c r="R909" s="103" t="s">
        <v>263</v>
      </c>
      <c r="S909" s="104">
        <v>1.0</v>
      </c>
      <c r="T909" s="105"/>
      <c r="V909" s="77" t="s">
        <v>296</v>
      </c>
      <c r="W909" s="78">
        <v>2.0</v>
      </c>
      <c r="X909" s="82">
        <v>1.0</v>
      </c>
      <c r="Y909" s="103" t="s">
        <v>17</v>
      </c>
      <c r="Z909" s="104"/>
      <c r="AA909" s="105"/>
      <c r="AC909" s="52" t="s">
        <v>82</v>
      </c>
      <c r="AD909" s="52">
        <v>2.0</v>
      </c>
      <c r="AF909" s="52" t="s">
        <v>190</v>
      </c>
      <c r="AG909" s="52">
        <v>1.0</v>
      </c>
    </row>
    <row r="910" ht="14.25" customHeight="1">
      <c r="D910" s="103" t="s">
        <v>102</v>
      </c>
      <c r="E910" s="104">
        <v>1.0</v>
      </c>
      <c r="O910" s="77" t="s">
        <v>190</v>
      </c>
      <c r="P910" s="78">
        <v>1.0</v>
      </c>
      <c r="Y910" s="59"/>
      <c r="Z910" s="59"/>
      <c r="AC910" s="52" t="s">
        <v>49</v>
      </c>
      <c r="AD910" s="52">
        <v>2.0</v>
      </c>
      <c r="AF910" s="52" t="s">
        <v>102</v>
      </c>
      <c r="AG910" s="52">
        <v>1.0</v>
      </c>
    </row>
    <row r="911" ht="14.25" customHeight="1">
      <c r="Y911" s="90"/>
      <c r="Z911" s="90"/>
      <c r="AD911" s="48"/>
      <c r="AG911" s="48"/>
    </row>
    <row r="912" ht="14.25" customHeight="1">
      <c r="Y912" s="56">
        <f>A903+D903+H903+K903+O903+R903+V903+Y903</f>
        <v>43</v>
      </c>
      <c r="Z912" s="3"/>
      <c r="AD912" s="48"/>
      <c r="AG912" s="48"/>
    </row>
    <row r="913" ht="14.25" customHeight="1"/>
    <row r="914" ht="14.25" customHeight="1"/>
    <row r="915" ht="14.25" customHeight="1">
      <c r="P915" s="8">
        <v>45352.0</v>
      </c>
      <c r="Q915" s="2"/>
      <c r="R915" s="2"/>
      <c r="S915" s="3"/>
    </row>
    <row r="916" ht="14.25" customHeight="1"/>
    <row r="917" ht="14.25" customHeight="1">
      <c r="A917" s="9">
        <v>26.0</v>
      </c>
      <c r="B917" s="10">
        <v>45356.0</v>
      </c>
      <c r="C917" s="2"/>
      <c r="D917" s="2"/>
      <c r="E917" s="2"/>
      <c r="F917" s="3"/>
      <c r="H917" s="9">
        <v>27.0</v>
      </c>
      <c r="I917" s="10">
        <v>45363.0</v>
      </c>
      <c r="J917" s="2"/>
      <c r="K917" s="2"/>
      <c r="L917" s="2"/>
      <c r="M917" s="3"/>
      <c r="O917" s="9">
        <v>28.0</v>
      </c>
      <c r="P917" s="10">
        <v>45370.0</v>
      </c>
      <c r="Q917" s="2"/>
      <c r="R917" s="2"/>
      <c r="S917" s="2"/>
      <c r="T917" s="3"/>
      <c r="V917" s="9">
        <v>29.0</v>
      </c>
      <c r="W917" s="10">
        <v>45377.0</v>
      </c>
      <c r="X917" s="2"/>
      <c r="Y917" s="2"/>
      <c r="Z917" s="2"/>
      <c r="AA917" s="3"/>
      <c r="AC917" s="51" t="s">
        <v>328</v>
      </c>
      <c r="AD917" s="2"/>
      <c r="AE917" s="2"/>
      <c r="AF917" s="2"/>
      <c r="AG917" s="3"/>
    </row>
    <row r="918" ht="14.25" customHeight="1">
      <c r="A918" s="14">
        <v>5.0</v>
      </c>
      <c r="B918" s="2"/>
      <c r="C918" s="3"/>
      <c r="D918" s="39">
        <v>7.0</v>
      </c>
      <c r="E918" s="2"/>
      <c r="F918" s="3"/>
      <c r="H918" s="14">
        <v>5.0</v>
      </c>
      <c r="I918" s="2"/>
      <c r="J918" s="3"/>
      <c r="K918" s="39">
        <v>4.0</v>
      </c>
      <c r="L918" s="2"/>
      <c r="M918" s="3"/>
      <c r="O918" s="14">
        <v>3.0</v>
      </c>
      <c r="P918" s="2"/>
      <c r="Q918" s="3"/>
      <c r="R918" s="39">
        <v>2.0</v>
      </c>
      <c r="S918" s="2"/>
      <c r="T918" s="3"/>
      <c r="V918" s="14">
        <v>6.0</v>
      </c>
      <c r="W918" s="2"/>
      <c r="X918" s="3"/>
      <c r="Y918" s="39">
        <v>4.0</v>
      </c>
      <c r="Z918" s="2"/>
      <c r="AA918" s="3"/>
    </row>
    <row r="919" ht="12.0" customHeight="1">
      <c r="A919" s="60"/>
      <c r="B919" s="61" t="s">
        <v>69</v>
      </c>
      <c r="C919" s="62" t="s">
        <v>70</v>
      </c>
      <c r="D919" s="94"/>
      <c r="E919" s="95" t="s">
        <v>69</v>
      </c>
      <c r="F919" s="96" t="s">
        <v>70</v>
      </c>
      <c r="H919" s="66"/>
      <c r="I919" s="61" t="s">
        <v>69</v>
      </c>
      <c r="J919" s="61" t="s">
        <v>70</v>
      </c>
      <c r="K919" s="94"/>
      <c r="L919" s="95" t="s">
        <v>69</v>
      </c>
      <c r="M919" s="96" t="s">
        <v>70</v>
      </c>
      <c r="O919" s="66"/>
      <c r="P919" s="61" t="s">
        <v>69</v>
      </c>
      <c r="Q919" s="62" t="s">
        <v>70</v>
      </c>
      <c r="R919" s="94"/>
      <c r="S919" s="95" t="s">
        <v>69</v>
      </c>
      <c r="T919" s="96" t="s">
        <v>70</v>
      </c>
      <c r="V919" s="66"/>
      <c r="W919" s="61" t="s">
        <v>69</v>
      </c>
      <c r="X919" s="62" t="s">
        <v>70</v>
      </c>
      <c r="Y919" s="94"/>
      <c r="Z919" s="95" t="s">
        <v>69</v>
      </c>
      <c r="AA919" s="96" t="s">
        <v>70</v>
      </c>
      <c r="AC919" s="52" t="s">
        <v>277</v>
      </c>
      <c r="AD919" s="52">
        <v>8.0</v>
      </c>
      <c r="AF919" s="52" t="s">
        <v>38</v>
      </c>
      <c r="AG919" s="52">
        <v>2.0</v>
      </c>
    </row>
    <row r="920" ht="14.25" customHeight="1">
      <c r="A920" s="67" t="s">
        <v>5</v>
      </c>
      <c r="B920" s="68">
        <v>3.0</v>
      </c>
      <c r="C920" s="69">
        <v>1.0</v>
      </c>
      <c r="D920" s="97" t="s">
        <v>11</v>
      </c>
      <c r="E920" s="98"/>
      <c r="F920" s="99">
        <v>2.0</v>
      </c>
      <c r="H920" s="67" t="s">
        <v>166</v>
      </c>
      <c r="I920" s="68"/>
      <c r="J920" s="191"/>
      <c r="K920" s="97" t="s">
        <v>10</v>
      </c>
      <c r="L920" s="98">
        <v>1.0</v>
      </c>
      <c r="M920" s="99">
        <v>2.0</v>
      </c>
      <c r="O920" s="67" t="s">
        <v>10</v>
      </c>
      <c r="P920" s="68">
        <v>1.0</v>
      </c>
      <c r="Q920" s="69"/>
      <c r="R920" s="97" t="s">
        <v>18</v>
      </c>
      <c r="S920" s="98"/>
      <c r="T920" s="99"/>
      <c r="V920" s="67" t="s">
        <v>4</v>
      </c>
      <c r="W920" s="68">
        <v>2.0</v>
      </c>
      <c r="X920" s="69"/>
      <c r="Y920" s="97" t="s">
        <v>10</v>
      </c>
      <c r="Z920" s="98">
        <v>1.0</v>
      </c>
      <c r="AA920" s="99"/>
      <c r="AC920" s="52" t="s">
        <v>8</v>
      </c>
      <c r="AD920" s="52">
        <v>4.0</v>
      </c>
      <c r="AF920" s="52" t="s">
        <v>134</v>
      </c>
      <c r="AG920" s="52">
        <v>2.0</v>
      </c>
    </row>
    <row r="921" ht="14.25" customHeight="1">
      <c r="A921" s="72" t="s">
        <v>7</v>
      </c>
      <c r="B921" s="73"/>
      <c r="C921" s="69">
        <v>1.0</v>
      </c>
      <c r="D921" s="100" t="s">
        <v>296</v>
      </c>
      <c r="E921" s="101"/>
      <c r="F921" s="102">
        <v>1.0</v>
      </c>
      <c r="H921" s="72" t="s">
        <v>278</v>
      </c>
      <c r="I921" s="73">
        <v>3.0</v>
      </c>
      <c r="J921" s="191">
        <v>1.0</v>
      </c>
      <c r="K921" s="100" t="s">
        <v>17</v>
      </c>
      <c r="L921" s="101">
        <v>1.0</v>
      </c>
      <c r="M921" s="102"/>
      <c r="O921" s="72" t="s">
        <v>5</v>
      </c>
      <c r="P921" s="73">
        <v>1.0</v>
      </c>
      <c r="Q921" s="69">
        <v>1.0</v>
      </c>
      <c r="R921" s="100" t="s">
        <v>17</v>
      </c>
      <c r="S921" s="101"/>
      <c r="T921" s="102"/>
      <c r="V921" s="72" t="s">
        <v>9</v>
      </c>
      <c r="W921" s="73">
        <v>2.0</v>
      </c>
      <c r="X921" s="69"/>
      <c r="Y921" s="100" t="s">
        <v>166</v>
      </c>
      <c r="Z921" s="101">
        <v>1.0</v>
      </c>
      <c r="AA921" s="102"/>
      <c r="AC921" s="52" t="s">
        <v>49</v>
      </c>
      <c r="AD921" s="52">
        <v>4.0</v>
      </c>
      <c r="AF921" s="52" t="s">
        <v>91</v>
      </c>
      <c r="AG921" s="52">
        <v>1.0</v>
      </c>
    </row>
    <row r="922" ht="14.25" customHeight="1">
      <c r="A922" s="72" t="s">
        <v>10</v>
      </c>
      <c r="B922" s="73"/>
      <c r="C922" s="69">
        <v>2.0</v>
      </c>
      <c r="D922" s="100" t="s">
        <v>263</v>
      </c>
      <c r="E922" s="101">
        <v>2.0</v>
      </c>
      <c r="F922" s="102"/>
      <c r="H922" s="72" t="s">
        <v>7</v>
      </c>
      <c r="I922" s="73"/>
      <c r="J922" s="191"/>
      <c r="K922" s="100" t="s">
        <v>263</v>
      </c>
      <c r="L922" s="101">
        <v>1.0</v>
      </c>
      <c r="M922" s="102">
        <v>1.0</v>
      </c>
      <c r="O922" s="72" t="s">
        <v>7</v>
      </c>
      <c r="P922" s="73"/>
      <c r="Q922" s="69">
        <v>1.0</v>
      </c>
      <c r="R922" s="100" t="s">
        <v>278</v>
      </c>
      <c r="S922" s="101"/>
      <c r="T922" s="102"/>
      <c r="V922" s="72" t="s">
        <v>278</v>
      </c>
      <c r="W922" s="73">
        <v>1.0</v>
      </c>
      <c r="X922" s="69">
        <v>2.0</v>
      </c>
      <c r="Y922" s="100" t="s">
        <v>5</v>
      </c>
      <c r="Z922" s="101"/>
      <c r="AA922" s="102">
        <v>1.0</v>
      </c>
      <c r="AC922" s="52" t="s">
        <v>61</v>
      </c>
      <c r="AD922" s="52">
        <v>3.0</v>
      </c>
      <c r="AF922" s="52" t="s">
        <v>232</v>
      </c>
      <c r="AG922" s="52">
        <v>1.0</v>
      </c>
    </row>
    <row r="923" ht="14.25" customHeight="1">
      <c r="A923" s="72" t="s">
        <v>6</v>
      </c>
      <c r="B923" s="73"/>
      <c r="C923" s="69"/>
      <c r="D923" s="100" t="s">
        <v>278</v>
      </c>
      <c r="E923" s="101">
        <v>4.0</v>
      </c>
      <c r="F923" s="102">
        <v>2.0</v>
      </c>
      <c r="H923" s="72" t="s">
        <v>5</v>
      </c>
      <c r="I923" s="73"/>
      <c r="J923" s="191">
        <v>1.0</v>
      </c>
      <c r="K923" s="100" t="s">
        <v>20</v>
      </c>
      <c r="L923" s="101"/>
      <c r="M923" s="102"/>
      <c r="O923" s="72" t="s">
        <v>20</v>
      </c>
      <c r="P923" s="73">
        <v>1.0</v>
      </c>
      <c r="Q923" s="69">
        <v>1.0</v>
      </c>
      <c r="R923" s="100" t="s">
        <v>4</v>
      </c>
      <c r="S923" s="101"/>
      <c r="T923" s="102">
        <v>2.0</v>
      </c>
      <c r="V923" s="72" t="s">
        <v>18</v>
      </c>
      <c r="W923" s="73">
        <v>1.0</v>
      </c>
      <c r="X923" s="69">
        <v>1.0</v>
      </c>
      <c r="Y923" s="100" t="s">
        <v>11</v>
      </c>
      <c r="Z923" s="101">
        <v>1.0</v>
      </c>
      <c r="AA923" s="102"/>
      <c r="AC923" s="52" t="s">
        <v>267</v>
      </c>
      <c r="AD923" s="52">
        <v>3.0</v>
      </c>
      <c r="AF923" s="52" t="s">
        <v>41</v>
      </c>
      <c r="AG923" s="52">
        <v>1.0</v>
      </c>
    </row>
    <row r="924" ht="14.25" customHeight="1">
      <c r="A924" s="77" t="s">
        <v>17</v>
      </c>
      <c r="B924" s="78">
        <v>2.0</v>
      </c>
      <c r="C924" s="82"/>
      <c r="D924" s="103" t="s">
        <v>20</v>
      </c>
      <c r="E924" s="104">
        <v>1.0</v>
      </c>
      <c r="F924" s="105">
        <v>1.0</v>
      </c>
      <c r="H924" s="77" t="s">
        <v>4</v>
      </c>
      <c r="I924" s="78">
        <v>2.0</v>
      </c>
      <c r="J924" s="190">
        <v>1.0</v>
      </c>
      <c r="K924" s="103" t="s">
        <v>153</v>
      </c>
      <c r="L924" s="104">
        <v>1.0</v>
      </c>
      <c r="M924" s="105">
        <v>2.0</v>
      </c>
      <c r="O924" s="77" t="s">
        <v>263</v>
      </c>
      <c r="P924" s="78"/>
      <c r="Q924" s="190"/>
      <c r="R924" s="103" t="s">
        <v>166</v>
      </c>
      <c r="S924" s="104">
        <v>2.0</v>
      </c>
      <c r="T924" s="105"/>
      <c r="V924" s="77" t="s">
        <v>263</v>
      </c>
      <c r="W924" s="78"/>
      <c r="X924" s="82">
        <v>2.0</v>
      </c>
      <c r="Y924" s="103" t="s">
        <v>7</v>
      </c>
      <c r="Z924" s="104">
        <v>1.0</v>
      </c>
      <c r="AA924" s="105"/>
      <c r="AC924" s="52" t="s">
        <v>203</v>
      </c>
      <c r="AD924" s="52">
        <v>3.0</v>
      </c>
      <c r="AF924" s="52" t="s">
        <v>29</v>
      </c>
      <c r="AG924" s="52">
        <v>1.0</v>
      </c>
    </row>
    <row r="925" ht="14.25" customHeight="1">
      <c r="Y925" s="59"/>
      <c r="Z925" s="59"/>
      <c r="AC925" s="52" t="s">
        <v>82</v>
      </c>
      <c r="AD925" s="52">
        <v>3.0</v>
      </c>
      <c r="AG925" s="48"/>
    </row>
    <row r="926" ht="14.25" customHeight="1">
      <c r="Y926" s="90"/>
      <c r="Z926" s="90"/>
      <c r="AD926" s="48"/>
      <c r="AG926" s="48"/>
    </row>
    <row r="927" ht="14.25" customHeight="1">
      <c r="Y927" s="56">
        <f>A918+D918+H918+K918+O918+R918+V918+Y918</f>
        <v>36</v>
      </c>
      <c r="Z927" s="3"/>
      <c r="AD927" s="48"/>
      <c r="AG927" s="48"/>
    </row>
    <row r="928" ht="14.25" customHeight="1"/>
    <row r="929" ht="14.25" customHeight="1"/>
    <row r="930" ht="14.25" customHeight="1">
      <c r="P930" s="8">
        <v>45383.0</v>
      </c>
      <c r="Q930" s="2"/>
      <c r="R930" s="2"/>
      <c r="S930" s="3"/>
    </row>
    <row r="931" ht="14.25" customHeight="1"/>
    <row r="932" ht="14.25" customHeight="1">
      <c r="A932" s="9">
        <v>30.0</v>
      </c>
      <c r="B932" s="10">
        <v>45384.0</v>
      </c>
      <c r="C932" s="2"/>
      <c r="D932" s="2"/>
      <c r="E932" s="2"/>
      <c r="F932" s="3"/>
      <c r="H932" s="9">
        <v>31.0</v>
      </c>
      <c r="I932" s="10">
        <v>45391.0</v>
      </c>
      <c r="J932" s="2"/>
      <c r="K932" s="2"/>
      <c r="L932" s="2"/>
      <c r="M932" s="3"/>
      <c r="O932" s="9">
        <v>32.0</v>
      </c>
      <c r="P932" s="10">
        <v>45398.0</v>
      </c>
      <c r="Q932" s="2"/>
      <c r="R932" s="2"/>
      <c r="S932" s="2"/>
      <c r="T932" s="3"/>
      <c r="V932" s="9">
        <v>33.0</v>
      </c>
      <c r="W932" s="10">
        <v>45405.0</v>
      </c>
      <c r="X932" s="2"/>
      <c r="Y932" s="2"/>
      <c r="Z932" s="2"/>
      <c r="AA932" s="3"/>
      <c r="AC932" s="9">
        <v>34.0</v>
      </c>
      <c r="AD932" s="10">
        <v>45412.0</v>
      </c>
      <c r="AE932" s="2"/>
      <c r="AF932" s="2"/>
      <c r="AG932" s="2"/>
      <c r="AH932" s="3"/>
    </row>
    <row r="933" ht="14.25" customHeight="1">
      <c r="A933" s="14">
        <v>6.0</v>
      </c>
      <c r="B933" s="2"/>
      <c r="C933" s="3"/>
      <c r="D933" s="39">
        <v>6.0</v>
      </c>
      <c r="E933" s="2"/>
      <c r="F933" s="3"/>
      <c r="H933" s="14">
        <v>6.0</v>
      </c>
      <c r="I933" s="2"/>
      <c r="J933" s="3"/>
      <c r="K933" s="39">
        <v>4.0</v>
      </c>
      <c r="L933" s="2"/>
      <c r="M933" s="3"/>
      <c r="O933" s="14">
        <v>7.0</v>
      </c>
      <c r="P933" s="2"/>
      <c r="Q933" s="3"/>
      <c r="R933" s="39">
        <v>7.0</v>
      </c>
      <c r="S933" s="2"/>
      <c r="T933" s="3"/>
      <c r="V933" s="14">
        <v>3.0</v>
      </c>
      <c r="W933" s="2"/>
      <c r="X933" s="3"/>
      <c r="Y933" s="39">
        <v>3.0</v>
      </c>
      <c r="Z933" s="2"/>
      <c r="AA933" s="3"/>
      <c r="AC933" s="14">
        <v>2.0</v>
      </c>
      <c r="AD933" s="2"/>
      <c r="AE933" s="3"/>
      <c r="AF933" s="39">
        <v>2.0</v>
      </c>
      <c r="AG933" s="2"/>
      <c r="AH933" s="3"/>
    </row>
    <row r="934" ht="12.0" customHeight="1">
      <c r="A934" s="66"/>
      <c r="B934" s="61" t="s">
        <v>69</v>
      </c>
      <c r="C934" s="62" t="s">
        <v>70</v>
      </c>
      <c r="D934" s="94"/>
      <c r="E934" s="95" t="s">
        <v>69</v>
      </c>
      <c r="F934" s="96" t="s">
        <v>70</v>
      </c>
      <c r="H934" s="66"/>
      <c r="I934" s="61" t="s">
        <v>69</v>
      </c>
      <c r="J934" s="62" t="s">
        <v>70</v>
      </c>
      <c r="K934" s="94"/>
      <c r="L934" s="95" t="s">
        <v>69</v>
      </c>
      <c r="M934" s="96" t="s">
        <v>70</v>
      </c>
      <c r="O934" s="66"/>
      <c r="P934" s="61" t="s">
        <v>69</v>
      </c>
      <c r="Q934" s="62" t="s">
        <v>70</v>
      </c>
      <c r="R934" s="94"/>
      <c r="S934" s="95" t="s">
        <v>69</v>
      </c>
      <c r="T934" s="96" t="s">
        <v>70</v>
      </c>
      <c r="V934" s="66"/>
      <c r="W934" s="61" t="s">
        <v>69</v>
      </c>
      <c r="X934" s="62" t="s">
        <v>70</v>
      </c>
      <c r="Y934" s="94"/>
      <c r="Z934" s="95" t="s">
        <v>69</v>
      </c>
      <c r="AA934" s="96" t="s">
        <v>70</v>
      </c>
      <c r="AC934" s="66"/>
      <c r="AD934" s="61" t="s">
        <v>69</v>
      </c>
      <c r="AE934" s="62" t="s">
        <v>70</v>
      </c>
      <c r="AF934" s="94"/>
      <c r="AG934" s="95" t="s">
        <v>69</v>
      </c>
      <c r="AH934" s="96" t="s">
        <v>70</v>
      </c>
    </row>
    <row r="935" ht="14.25" customHeight="1">
      <c r="A935" s="67" t="s">
        <v>4</v>
      </c>
      <c r="B935" s="68">
        <v>2.0</v>
      </c>
      <c r="C935" s="69"/>
      <c r="D935" s="97" t="s">
        <v>10</v>
      </c>
      <c r="E935" s="98"/>
      <c r="F935" s="99"/>
      <c r="H935" s="67" t="s">
        <v>10</v>
      </c>
      <c r="I935" s="68">
        <v>2.0</v>
      </c>
      <c r="J935" s="69">
        <v>1.0</v>
      </c>
      <c r="K935" s="97" t="s">
        <v>263</v>
      </c>
      <c r="L935" s="98">
        <v>1.0</v>
      </c>
      <c r="M935" s="99"/>
      <c r="O935" s="67" t="s">
        <v>10</v>
      </c>
      <c r="P935" s="68">
        <v>1.0</v>
      </c>
      <c r="Q935" s="69">
        <v>2.0</v>
      </c>
      <c r="R935" s="97" t="s">
        <v>18</v>
      </c>
      <c r="S935" s="98">
        <v>1.0</v>
      </c>
      <c r="T935" s="99"/>
      <c r="V935" s="67" t="s">
        <v>18</v>
      </c>
      <c r="W935" s="68"/>
      <c r="X935" s="69"/>
      <c r="Y935" s="97" t="s">
        <v>10</v>
      </c>
      <c r="Z935" s="98">
        <v>1.0</v>
      </c>
      <c r="AA935" s="99"/>
      <c r="AC935" s="67" t="s">
        <v>296</v>
      </c>
      <c r="AD935" s="68">
        <v>1.0</v>
      </c>
      <c r="AE935" s="69"/>
      <c r="AF935" s="97" t="s">
        <v>10</v>
      </c>
      <c r="AG935" s="98"/>
      <c r="AH935" s="99"/>
    </row>
    <row r="936" ht="14.25" customHeight="1">
      <c r="A936" s="72" t="s">
        <v>9</v>
      </c>
      <c r="B936" s="73">
        <v>1.0</v>
      </c>
      <c r="C936" s="69">
        <v>1.0</v>
      </c>
      <c r="D936" s="100" t="s">
        <v>20</v>
      </c>
      <c r="E936" s="101">
        <v>1.0</v>
      </c>
      <c r="F936" s="102">
        <v>2.0</v>
      </c>
      <c r="H936" s="72" t="s">
        <v>7</v>
      </c>
      <c r="I936" s="73"/>
      <c r="J936" s="69">
        <v>1.0</v>
      </c>
      <c r="K936" s="100" t="s">
        <v>20</v>
      </c>
      <c r="L936" s="101">
        <v>1.0</v>
      </c>
      <c r="M936" s="102"/>
      <c r="O936" s="72" t="s">
        <v>7</v>
      </c>
      <c r="P936" s="73">
        <v>1.0</v>
      </c>
      <c r="Q936" s="69">
        <v>2.0</v>
      </c>
      <c r="R936" s="100" t="s">
        <v>278</v>
      </c>
      <c r="S936" s="101">
        <v>2.0</v>
      </c>
      <c r="T936" s="102"/>
      <c r="V936" s="72" t="s">
        <v>7</v>
      </c>
      <c r="W936" s="73">
        <v>2.0</v>
      </c>
      <c r="X936" s="69"/>
      <c r="Y936" s="100" t="s">
        <v>278</v>
      </c>
      <c r="Z936" s="101">
        <v>2.0</v>
      </c>
      <c r="AA936" s="102">
        <v>1.0</v>
      </c>
      <c r="AC936" s="72" t="s">
        <v>263</v>
      </c>
      <c r="AD936" s="73">
        <v>1.0</v>
      </c>
      <c r="AE936" s="69"/>
      <c r="AF936" s="100" t="s">
        <v>278</v>
      </c>
      <c r="AG936" s="101"/>
      <c r="AH936" s="102"/>
    </row>
    <row r="937" ht="14.25" customHeight="1">
      <c r="A937" s="72" t="s">
        <v>166</v>
      </c>
      <c r="B937" s="73">
        <v>2.0</v>
      </c>
      <c r="C937" s="69">
        <v>1.0</v>
      </c>
      <c r="D937" s="100" t="s">
        <v>5</v>
      </c>
      <c r="E937" s="101">
        <v>1.0</v>
      </c>
      <c r="F937" s="102">
        <v>2.0</v>
      </c>
      <c r="H937" s="72" t="s">
        <v>17</v>
      </c>
      <c r="I937" s="73">
        <v>1.0</v>
      </c>
      <c r="J937" s="69">
        <v>1.0</v>
      </c>
      <c r="K937" s="100" t="s">
        <v>278</v>
      </c>
      <c r="L937" s="101">
        <v>2.0</v>
      </c>
      <c r="M937" s="102">
        <v>1.0</v>
      </c>
      <c r="O937" s="72" t="s">
        <v>20</v>
      </c>
      <c r="P937" s="73">
        <v>2.0</v>
      </c>
      <c r="Q937" s="69"/>
      <c r="R937" s="100" t="s">
        <v>17</v>
      </c>
      <c r="S937" s="101"/>
      <c r="T937" s="102"/>
      <c r="V937" s="72" t="s">
        <v>20</v>
      </c>
      <c r="W937" s="73"/>
      <c r="X937" s="69"/>
      <c r="Y937" s="100" t="s">
        <v>17</v>
      </c>
      <c r="Z937" s="101"/>
      <c r="AA937" s="102"/>
      <c r="AC937" s="72" t="s">
        <v>18</v>
      </c>
      <c r="AD937" s="73"/>
      <c r="AE937" s="69"/>
      <c r="AF937" s="100" t="s">
        <v>7</v>
      </c>
      <c r="AG937" s="101">
        <v>1.0</v>
      </c>
      <c r="AH937" s="102"/>
    </row>
    <row r="938" ht="14.25" customHeight="1">
      <c r="A938" s="72" t="s">
        <v>17</v>
      </c>
      <c r="B938" s="73"/>
      <c r="C938" s="69">
        <v>1.0</v>
      </c>
      <c r="D938" s="100" t="s">
        <v>278</v>
      </c>
      <c r="E938" s="101">
        <v>2.0</v>
      </c>
      <c r="F938" s="102">
        <v>1.0</v>
      </c>
      <c r="H938" s="72" t="s">
        <v>4</v>
      </c>
      <c r="I938" s="73"/>
      <c r="J938" s="69">
        <v>1.0</v>
      </c>
      <c r="K938" s="100" t="s">
        <v>166</v>
      </c>
      <c r="L938" s="101"/>
      <c r="M938" s="102"/>
      <c r="O938" s="72" t="s">
        <v>4</v>
      </c>
      <c r="P938" s="73">
        <v>1.0</v>
      </c>
      <c r="Q938" s="69"/>
      <c r="R938" s="100" t="s">
        <v>263</v>
      </c>
      <c r="S938" s="101">
        <v>1.0</v>
      </c>
      <c r="T938" s="102"/>
      <c r="V938" s="72" t="s">
        <v>296</v>
      </c>
      <c r="W938" s="73">
        <v>1.0</v>
      </c>
      <c r="X938" s="69">
        <v>1.0</v>
      </c>
      <c r="Y938" s="100" t="s">
        <v>263</v>
      </c>
      <c r="Z938" s="101"/>
      <c r="AA938" s="102">
        <v>1.0</v>
      </c>
      <c r="AC938" s="72" t="s">
        <v>166</v>
      </c>
      <c r="AD938" s="73"/>
      <c r="AE938" s="69"/>
      <c r="AF938" s="100" t="s">
        <v>20</v>
      </c>
      <c r="AG938" s="101"/>
      <c r="AH938" s="102">
        <v>2.0</v>
      </c>
    </row>
    <row r="939" ht="14.25" customHeight="1">
      <c r="A939" s="77" t="s">
        <v>263</v>
      </c>
      <c r="B939" s="78">
        <v>1.0</v>
      </c>
      <c r="C939" s="82"/>
      <c r="D939" s="103" t="s">
        <v>7</v>
      </c>
      <c r="E939" s="104">
        <v>1.0</v>
      </c>
      <c r="F939" s="105"/>
      <c r="H939" s="77" t="s">
        <v>5</v>
      </c>
      <c r="I939" s="78">
        <v>3.0</v>
      </c>
      <c r="J939" s="82"/>
      <c r="K939" s="103" t="s">
        <v>18</v>
      </c>
      <c r="L939" s="104"/>
      <c r="M939" s="105"/>
      <c r="O939" s="77" t="s">
        <v>5</v>
      </c>
      <c r="P939" s="78">
        <v>2.0</v>
      </c>
      <c r="Q939" s="82">
        <v>3.0</v>
      </c>
      <c r="R939" s="103" t="s">
        <v>166</v>
      </c>
      <c r="S939" s="104">
        <v>3.0</v>
      </c>
      <c r="T939" s="105">
        <v>1.0</v>
      </c>
      <c r="V939" s="77" t="s">
        <v>166</v>
      </c>
      <c r="W939" s="78"/>
      <c r="X939" s="82"/>
      <c r="Y939" s="103" t="s">
        <v>5</v>
      </c>
      <c r="Z939" s="104"/>
      <c r="AA939" s="105">
        <v>1.0</v>
      </c>
      <c r="AC939" s="77" t="s">
        <v>17</v>
      </c>
      <c r="AD939" s="78"/>
      <c r="AE939" s="82">
        <v>1.0</v>
      </c>
      <c r="AF939" s="103" t="s">
        <v>5</v>
      </c>
      <c r="AG939" s="104">
        <v>1.0</v>
      </c>
      <c r="AH939" s="105"/>
    </row>
    <row r="940" ht="14.25" customHeight="1">
      <c r="D940" s="103" t="s">
        <v>191</v>
      </c>
      <c r="E940" s="104">
        <v>1.0</v>
      </c>
    </row>
    <row r="941" ht="14.25" customHeight="1"/>
    <row r="942" ht="14.25" customHeight="1">
      <c r="V942" s="90"/>
      <c r="W942" s="90"/>
      <c r="X942" s="90"/>
      <c r="Y942" s="90"/>
      <c r="Z942" s="90"/>
    </row>
    <row r="943" ht="14.25" customHeight="1">
      <c r="A943" s="146"/>
      <c r="B943" s="146"/>
      <c r="C943" s="146"/>
      <c r="D943" s="51" t="s">
        <v>329</v>
      </c>
      <c r="E943" s="2"/>
      <c r="F943" s="2"/>
      <c r="G943" s="2"/>
      <c r="H943" s="3"/>
      <c r="O943" s="135"/>
      <c r="V943" s="55" t="s">
        <v>3</v>
      </c>
      <c r="W943" s="2"/>
      <c r="X943" s="3"/>
      <c r="Y943" s="56">
        <f>A933+D933+H933+K933+O933+R933+V933+Y933+AC933+AF933</f>
        <v>46</v>
      </c>
      <c r="Z943" s="3"/>
    </row>
    <row r="944" ht="14.25" customHeight="1"/>
    <row r="945" ht="14.25" customHeight="1">
      <c r="D945" s="52" t="s">
        <v>277</v>
      </c>
      <c r="E945" s="52">
        <v>8.0</v>
      </c>
      <c r="H945" s="52" t="s">
        <v>49</v>
      </c>
      <c r="I945" s="52">
        <v>3.0</v>
      </c>
    </row>
    <row r="946" ht="14.25" customHeight="1">
      <c r="D946" s="52" t="s">
        <v>8</v>
      </c>
      <c r="E946" s="52">
        <v>7.0</v>
      </c>
      <c r="H946" s="52" t="s">
        <v>297</v>
      </c>
      <c r="I946" s="52">
        <v>2.0</v>
      </c>
    </row>
    <row r="947" ht="14.25" customHeight="1">
      <c r="D947" s="52" t="s">
        <v>203</v>
      </c>
      <c r="E947" s="52">
        <v>5.0</v>
      </c>
      <c r="H947" s="52" t="s">
        <v>61</v>
      </c>
      <c r="I947" s="52">
        <v>1.0</v>
      </c>
    </row>
    <row r="948" ht="14.25" customHeight="1">
      <c r="D948" s="52" t="s">
        <v>29</v>
      </c>
      <c r="E948" s="52">
        <v>5.0</v>
      </c>
      <c r="H948" s="52" t="s">
        <v>91</v>
      </c>
      <c r="I948" s="52">
        <v>1.0</v>
      </c>
    </row>
    <row r="949" ht="14.25" customHeight="1">
      <c r="D949" s="52" t="s">
        <v>38</v>
      </c>
      <c r="E949" s="52">
        <v>4.0</v>
      </c>
      <c r="H949" s="52" t="s">
        <v>134</v>
      </c>
      <c r="I949" s="52">
        <v>1.0</v>
      </c>
    </row>
    <row r="950" ht="14.25" customHeight="1">
      <c r="D950" s="52" t="s">
        <v>82</v>
      </c>
      <c r="E950" s="52">
        <v>4.0</v>
      </c>
      <c r="H950" s="52" t="s">
        <v>191</v>
      </c>
      <c r="I950" s="52">
        <v>1.0</v>
      </c>
    </row>
    <row r="951" ht="14.25" customHeight="1">
      <c r="D951" s="52" t="s">
        <v>267</v>
      </c>
      <c r="E951" s="52">
        <v>4.0</v>
      </c>
      <c r="I951" s="48"/>
    </row>
    <row r="952" ht="14.25" customHeight="1">
      <c r="I952" s="48"/>
    </row>
    <row r="953" ht="14.25" customHeight="1">
      <c r="E953" s="48"/>
    </row>
    <row r="954" ht="14.25" customHeight="1">
      <c r="E954" s="48"/>
      <c r="P954" s="8">
        <v>45413.0</v>
      </c>
      <c r="Q954" s="2"/>
      <c r="R954" s="2"/>
      <c r="S954" s="3"/>
    </row>
    <row r="955" ht="14.25" customHeight="1"/>
    <row r="956" ht="14.25" customHeight="1">
      <c r="A956" s="9">
        <v>35.0</v>
      </c>
      <c r="B956" s="10">
        <v>45419.0</v>
      </c>
      <c r="C956" s="2"/>
      <c r="D956" s="2"/>
      <c r="E956" s="2"/>
      <c r="F956" s="3"/>
      <c r="H956" s="9">
        <v>36.0</v>
      </c>
      <c r="I956" s="10">
        <v>45426.0</v>
      </c>
      <c r="J956" s="2"/>
      <c r="K956" s="2"/>
      <c r="L956" s="2"/>
      <c r="M956" s="3"/>
      <c r="O956" s="9">
        <v>37.0</v>
      </c>
      <c r="P956" s="10">
        <v>45433.0</v>
      </c>
      <c r="Q956" s="2"/>
      <c r="R956" s="2"/>
      <c r="S956" s="2"/>
      <c r="T956" s="3"/>
      <c r="V956" s="9">
        <v>38.0</v>
      </c>
      <c r="W956" s="10">
        <v>45440.0</v>
      </c>
      <c r="X956" s="2"/>
      <c r="Y956" s="2"/>
      <c r="Z956" s="2"/>
      <c r="AA956" s="3"/>
      <c r="AC956" s="51" t="s">
        <v>330</v>
      </c>
      <c r="AD956" s="2"/>
      <c r="AE956" s="2"/>
      <c r="AF956" s="2"/>
      <c r="AG956" s="3"/>
    </row>
    <row r="957" ht="14.25" customHeight="1">
      <c r="A957" s="14">
        <v>3.0</v>
      </c>
      <c r="B957" s="2"/>
      <c r="C957" s="3"/>
      <c r="D957" s="39">
        <v>7.0</v>
      </c>
      <c r="E957" s="2"/>
      <c r="F957" s="3"/>
      <c r="H957" s="14">
        <v>5.0</v>
      </c>
      <c r="I957" s="2"/>
      <c r="J957" s="3"/>
      <c r="K957" s="39">
        <v>6.0</v>
      </c>
      <c r="L957" s="2"/>
      <c r="M957" s="3"/>
      <c r="O957" s="14">
        <v>3.0</v>
      </c>
      <c r="P957" s="2"/>
      <c r="Q957" s="3"/>
      <c r="R957" s="39">
        <v>6.0</v>
      </c>
      <c r="S957" s="2"/>
      <c r="T957" s="3"/>
      <c r="V957" s="14">
        <v>5.0</v>
      </c>
      <c r="W957" s="2"/>
      <c r="X957" s="3"/>
      <c r="Y957" s="39">
        <v>6.0</v>
      </c>
      <c r="Z957" s="2"/>
      <c r="AA957" s="3"/>
    </row>
    <row r="958" ht="12.0" customHeight="1">
      <c r="A958" s="60"/>
      <c r="B958" s="61" t="s">
        <v>69</v>
      </c>
      <c r="C958" s="62" t="s">
        <v>70</v>
      </c>
      <c r="D958" s="94"/>
      <c r="E958" s="95" t="s">
        <v>69</v>
      </c>
      <c r="F958" s="96" t="s">
        <v>70</v>
      </c>
      <c r="H958" s="66"/>
      <c r="I958" s="61" t="s">
        <v>69</v>
      </c>
      <c r="J958" s="61" t="s">
        <v>70</v>
      </c>
      <c r="K958" s="94"/>
      <c r="L958" s="95" t="s">
        <v>69</v>
      </c>
      <c r="M958" s="96" t="s">
        <v>70</v>
      </c>
      <c r="O958" s="66"/>
      <c r="P958" s="61" t="s">
        <v>69</v>
      </c>
      <c r="Q958" s="62" t="s">
        <v>70</v>
      </c>
      <c r="R958" s="94"/>
      <c r="S958" s="95" t="s">
        <v>69</v>
      </c>
      <c r="T958" s="96" t="s">
        <v>70</v>
      </c>
      <c r="V958" s="66"/>
      <c r="W958" s="61" t="s">
        <v>69</v>
      </c>
      <c r="X958" s="62" t="s">
        <v>70</v>
      </c>
      <c r="Y958" s="94"/>
      <c r="Z958" s="95" t="s">
        <v>69</v>
      </c>
      <c r="AA958" s="96" t="s">
        <v>70</v>
      </c>
      <c r="AC958" s="52" t="s">
        <v>277</v>
      </c>
      <c r="AD958" s="52">
        <v>7.0</v>
      </c>
      <c r="AF958" s="52" t="s">
        <v>232</v>
      </c>
      <c r="AG958" s="52">
        <v>2.0</v>
      </c>
    </row>
    <row r="959" ht="14.25" customHeight="1">
      <c r="A959" s="67" t="s">
        <v>7</v>
      </c>
      <c r="B959" s="68"/>
      <c r="C959" s="69">
        <v>1.0</v>
      </c>
      <c r="D959" s="97" t="s">
        <v>18</v>
      </c>
      <c r="E959" s="98">
        <v>2.0</v>
      </c>
      <c r="F959" s="99"/>
      <c r="H959" s="67" t="s">
        <v>5</v>
      </c>
      <c r="I959" s="68">
        <v>1.0</v>
      </c>
      <c r="J959" s="191">
        <v>1.0</v>
      </c>
      <c r="K959" s="97" t="s">
        <v>18</v>
      </c>
      <c r="L959" s="98">
        <v>2.0</v>
      </c>
      <c r="M959" s="99"/>
      <c r="O959" s="67" t="s">
        <v>20</v>
      </c>
      <c r="P959" s="68"/>
      <c r="Q959" s="69">
        <v>1.0</v>
      </c>
      <c r="R959" s="97" t="s">
        <v>10</v>
      </c>
      <c r="S959" s="98"/>
      <c r="T959" s="99">
        <v>2.0</v>
      </c>
      <c r="V959" s="67" t="s">
        <v>263</v>
      </c>
      <c r="W959" s="68">
        <v>1.0</v>
      </c>
      <c r="X959" s="69"/>
      <c r="Y959" s="97" t="s">
        <v>9</v>
      </c>
      <c r="Z959" s="98">
        <v>1.0</v>
      </c>
      <c r="AA959" s="99"/>
      <c r="AC959" s="52" t="s">
        <v>91</v>
      </c>
      <c r="AD959" s="52">
        <v>6.0</v>
      </c>
      <c r="AF959" s="52" t="s">
        <v>38</v>
      </c>
      <c r="AG959" s="52">
        <v>2.0</v>
      </c>
    </row>
    <row r="960" ht="14.25" customHeight="1">
      <c r="A960" s="72" t="s">
        <v>17</v>
      </c>
      <c r="B960" s="73">
        <v>2.0</v>
      </c>
      <c r="C960" s="69">
        <v>1.0</v>
      </c>
      <c r="D960" s="100" t="s">
        <v>10</v>
      </c>
      <c r="E960" s="101"/>
      <c r="F960" s="102">
        <v>1.0</v>
      </c>
      <c r="H960" s="72" t="s">
        <v>153</v>
      </c>
      <c r="I960" s="73">
        <v>2.0</v>
      </c>
      <c r="J960" s="191"/>
      <c r="K960" s="100" t="s">
        <v>263</v>
      </c>
      <c r="L960" s="101"/>
      <c r="M960" s="102">
        <v>1.0</v>
      </c>
      <c r="O960" s="72" t="s">
        <v>263</v>
      </c>
      <c r="P960" s="73"/>
      <c r="Q960" s="69"/>
      <c r="R960" s="100" t="s">
        <v>18</v>
      </c>
      <c r="S960" s="101">
        <v>1.0</v>
      </c>
      <c r="T960" s="102"/>
      <c r="V960" s="72" t="s">
        <v>18</v>
      </c>
      <c r="W960" s="73">
        <v>1.0</v>
      </c>
      <c r="X960" s="69"/>
      <c r="Y960" s="100" t="s">
        <v>5</v>
      </c>
      <c r="Z960" s="101">
        <v>1.0</v>
      </c>
      <c r="AA960" s="102">
        <v>1.0</v>
      </c>
      <c r="AC960" s="52" t="s">
        <v>203</v>
      </c>
      <c r="AD960" s="52">
        <v>6.0</v>
      </c>
      <c r="AF960" s="52" t="s">
        <v>297</v>
      </c>
      <c r="AG960" s="52">
        <v>1.0</v>
      </c>
    </row>
    <row r="961" ht="14.25" customHeight="1">
      <c r="A961" s="72" t="s">
        <v>5</v>
      </c>
      <c r="B961" s="73">
        <v>1.0</v>
      </c>
      <c r="C961" s="69"/>
      <c r="D961" s="100" t="s">
        <v>20</v>
      </c>
      <c r="E961" s="101">
        <v>1.0</v>
      </c>
      <c r="F961" s="102">
        <v>1.0</v>
      </c>
      <c r="H961" s="72" t="s">
        <v>20</v>
      </c>
      <c r="I961" s="73"/>
      <c r="J961" s="191"/>
      <c r="K961" s="100" t="s">
        <v>17</v>
      </c>
      <c r="L961" s="101"/>
      <c r="M961" s="102">
        <v>2.0</v>
      </c>
      <c r="O961" s="72" t="s">
        <v>296</v>
      </c>
      <c r="P961" s="73"/>
      <c r="Q961" s="69"/>
      <c r="R961" s="100" t="s">
        <v>7</v>
      </c>
      <c r="S961" s="101"/>
      <c r="T961" s="102">
        <v>1.0</v>
      </c>
      <c r="V961" s="72" t="s">
        <v>166</v>
      </c>
      <c r="W961" s="73">
        <v>2.0</v>
      </c>
      <c r="X961" s="69"/>
      <c r="Y961" s="100" t="s">
        <v>4</v>
      </c>
      <c r="Z961" s="101">
        <v>3.0</v>
      </c>
      <c r="AA961" s="102">
        <v>1.0</v>
      </c>
      <c r="AC961" s="52" t="s">
        <v>61</v>
      </c>
      <c r="AD961" s="52">
        <v>5.0</v>
      </c>
      <c r="AF961" s="52" t="s">
        <v>82</v>
      </c>
      <c r="AG961" s="52">
        <v>1.0</v>
      </c>
    </row>
    <row r="962" ht="14.25" customHeight="1">
      <c r="A962" s="72" t="s">
        <v>263</v>
      </c>
      <c r="B962" s="73"/>
      <c r="C962" s="69">
        <v>1.0</v>
      </c>
      <c r="D962" s="100" t="s">
        <v>4</v>
      </c>
      <c r="E962" s="101">
        <v>2.0</v>
      </c>
      <c r="F962" s="102">
        <v>1.0</v>
      </c>
      <c r="H962" s="72" t="s">
        <v>296</v>
      </c>
      <c r="I962" s="73">
        <v>1.0</v>
      </c>
      <c r="J962" s="191">
        <v>1.0</v>
      </c>
      <c r="K962" s="100" t="s">
        <v>166</v>
      </c>
      <c r="L962" s="101">
        <v>2.0</v>
      </c>
      <c r="M962" s="102">
        <v>1.0</v>
      </c>
      <c r="O962" s="72" t="s">
        <v>166</v>
      </c>
      <c r="P962" s="73">
        <v>2.0</v>
      </c>
      <c r="Q962" s="69"/>
      <c r="R962" s="100" t="s">
        <v>278</v>
      </c>
      <c r="S962" s="101">
        <v>3.0</v>
      </c>
      <c r="T962" s="102">
        <v>1.0</v>
      </c>
      <c r="V962" s="72" t="s">
        <v>296</v>
      </c>
      <c r="W962" s="73"/>
      <c r="X962" s="69">
        <v>1.0</v>
      </c>
      <c r="Y962" s="100" t="s">
        <v>20</v>
      </c>
      <c r="Z962" s="101">
        <v>1.0</v>
      </c>
      <c r="AA962" s="102">
        <v>2.0</v>
      </c>
      <c r="AC962" s="52" t="s">
        <v>49</v>
      </c>
      <c r="AD962" s="52">
        <v>5.0</v>
      </c>
      <c r="AF962" s="52" t="s">
        <v>267</v>
      </c>
      <c r="AG962" s="52">
        <v>1.0</v>
      </c>
    </row>
    <row r="963" ht="14.25" customHeight="1">
      <c r="A963" s="77" t="s">
        <v>166</v>
      </c>
      <c r="B963" s="78"/>
      <c r="C963" s="82"/>
      <c r="D963" s="103" t="s">
        <v>278</v>
      </c>
      <c r="E963" s="104">
        <v>2.0</v>
      </c>
      <c r="F963" s="105">
        <v>3.0</v>
      </c>
      <c r="H963" s="77" t="s">
        <v>10</v>
      </c>
      <c r="I963" s="78">
        <v>1.0</v>
      </c>
      <c r="J963" s="190">
        <v>1.0</v>
      </c>
      <c r="K963" s="103" t="s">
        <v>278</v>
      </c>
      <c r="L963" s="104">
        <v>2.0</v>
      </c>
      <c r="M963" s="105"/>
      <c r="O963" s="77" t="s">
        <v>5</v>
      </c>
      <c r="P963" s="78">
        <v>1.0</v>
      </c>
      <c r="Q963" s="190">
        <v>1.0</v>
      </c>
      <c r="R963" s="103" t="s">
        <v>17</v>
      </c>
      <c r="S963" s="104">
        <v>2.0</v>
      </c>
      <c r="T963" s="105">
        <v>1.0</v>
      </c>
      <c r="V963" s="77" t="s">
        <v>17</v>
      </c>
      <c r="W963" s="78">
        <v>1.0</v>
      </c>
      <c r="X963" s="82">
        <v>3.0</v>
      </c>
      <c r="Y963" s="103" t="s">
        <v>7</v>
      </c>
      <c r="Z963" s="104"/>
      <c r="AA963" s="105">
        <v>1.0</v>
      </c>
      <c r="AC963" s="52" t="s">
        <v>8</v>
      </c>
      <c r="AD963" s="52">
        <v>4.0</v>
      </c>
      <c r="AF963" s="52" t="s">
        <v>134</v>
      </c>
      <c r="AG963" s="52">
        <v>1.0</v>
      </c>
    </row>
    <row r="964" ht="14.25" customHeight="1">
      <c r="Y964" s="59"/>
      <c r="Z964" s="59"/>
      <c r="AD964" s="48"/>
      <c r="AG964" s="48"/>
    </row>
    <row r="965" ht="14.25" customHeight="1">
      <c r="Y965" s="90"/>
      <c r="Z965" s="90"/>
      <c r="AD965" s="48"/>
      <c r="AG965" s="48"/>
    </row>
    <row r="966" ht="14.25" customHeight="1">
      <c r="Y966" s="56">
        <f>A957+D957+H957+K957+O957+R957+V957+Y957</f>
        <v>41</v>
      </c>
      <c r="Z966" s="3"/>
      <c r="AD966" s="48"/>
      <c r="AG966" s="48"/>
    </row>
    <row r="967" ht="14.25" customHeight="1"/>
    <row r="968" ht="14.25" customHeight="1"/>
    <row r="969" ht="14.25" customHeight="1">
      <c r="P969" s="8">
        <v>45444.0</v>
      </c>
      <c r="Q969" s="2"/>
      <c r="R969" s="2"/>
      <c r="S969" s="3"/>
    </row>
    <row r="970" ht="14.25" customHeight="1"/>
    <row r="971" ht="14.25" customHeight="1">
      <c r="A971" s="9">
        <v>39.0</v>
      </c>
      <c r="B971" s="10">
        <v>45447.0</v>
      </c>
      <c r="C971" s="2"/>
      <c r="D971" s="2"/>
      <c r="E971" s="2"/>
      <c r="F971" s="3"/>
      <c r="H971" s="9">
        <v>40.0</v>
      </c>
      <c r="I971" s="10">
        <v>45454.0</v>
      </c>
      <c r="J971" s="2"/>
      <c r="K971" s="2"/>
      <c r="L971" s="2"/>
      <c r="M971" s="3"/>
      <c r="O971" s="9">
        <v>41.0</v>
      </c>
      <c r="P971" s="10">
        <v>45461.0</v>
      </c>
      <c r="Q971" s="2"/>
      <c r="R971" s="2"/>
      <c r="S971" s="2"/>
      <c r="T971" s="3"/>
      <c r="V971" s="9">
        <v>42.0</v>
      </c>
      <c r="W971" s="10">
        <v>45468.0</v>
      </c>
      <c r="X971" s="2"/>
      <c r="Y971" s="2"/>
      <c r="Z971" s="2"/>
      <c r="AA971" s="3"/>
      <c r="AC971" s="51" t="s">
        <v>331</v>
      </c>
      <c r="AD971" s="2"/>
      <c r="AE971" s="2"/>
      <c r="AF971" s="2"/>
      <c r="AG971" s="3"/>
    </row>
    <row r="972" ht="14.25" customHeight="1">
      <c r="A972" s="14">
        <v>6.0</v>
      </c>
      <c r="B972" s="2"/>
      <c r="C972" s="3"/>
      <c r="D972" s="39">
        <v>9.0</v>
      </c>
      <c r="E972" s="2"/>
      <c r="F972" s="3"/>
      <c r="H972" s="14">
        <v>1.0</v>
      </c>
      <c r="I972" s="2"/>
      <c r="J972" s="3"/>
      <c r="K972" s="39">
        <v>2.0</v>
      </c>
      <c r="L972" s="2"/>
      <c r="M972" s="3"/>
      <c r="O972" s="14">
        <v>8.0</v>
      </c>
      <c r="P972" s="2"/>
      <c r="Q972" s="3"/>
      <c r="R972" s="39">
        <v>4.0</v>
      </c>
      <c r="S972" s="2"/>
      <c r="T972" s="3"/>
      <c r="V972" s="14">
        <v>3.0</v>
      </c>
      <c r="W972" s="2"/>
      <c r="X972" s="3"/>
      <c r="Y972" s="39">
        <v>9.0</v>
      </c>
      <c r="Z972" s="2"/>
      <c r="AA972" s="3"/>
    </row>
    <row r="973" ht="12.0" customHeight="1">
      <c r="A973" s="60"/>
      <c r="B973" s="61" t="s">
        <v>69</v>
      </c>
      <c r="C973" s="62" t="s">
        <v>70</v>
      </c>
      <c r="D973" s="94"/>
      <c r="E973" s="95" t="s">
        <v>69</v>
      </c>
      <c r="F973" s="96" t="s">
        <v>70</v>
      </c>
      <c r="H973" s="66"/>
      <c r="I973" s="61" t="s">
        <v>69</v>
      </c>
      <c r="J973" s="61" t="s">
        <v>70</v>
      </c>
      <c r="K973" s="94"/>
      <c r="L973" s="95" t="s">
        <v>69</v>
      </c>
      <c r="M973" s="96" t="s">
        <v>70</v>
      </c>
      <c r="O973" s="66"/>
      <c r="P973" s="61" t="s">
        <v>69</v>
      </c>
      <c r="Q973" s="62" t="s">
        <v>70</v>
      </c>
      <c r="R973" s="94"/>
      <c r="S973" s="95" t="s">
        <v>69</v>
      </c>
      <c r="T973" s="96" t="s">
        <v>70</v>
      </c>
      <c r="V973" s="66"/>
      <c r="W973" s="61" t="s">
        <v>69</v>
      </c>
      <c r="X973" s="62" t="s">
        <v>70</v>
      </c>
      <c r="Y973" s="94"/>
      <c r="Z973" s="95" t="s">
        <v>69</v>
      </c>
      <c r="AA973" s="96" t="s">
        <v>70</v>
      </c>
      <c r="AC973" s="52" t="s">
        <v>38</v>
      </c>
      <c r="AD973" s="52">
        <v>7.0</v>
      </c>
      <c r="AF973" s="52" t="s">
        <v>267</v>
      </c>
      <c r="AG973" s="52">
        <v>2.0</v>
      </c>
    </row>
    <row r="974" ht="14.25" customHeight="1">
      <c r="A974" s="67" t="s">
        <v>20</v>
      </c>
      <c r="B974" s="68">
        <v>1.0</v>
      </c>
      <c r="C974" s="69"/>
      <c r="D974" s="97" t="s">
        <v>10</v>
      </c>
      <c r="E974" s="98"/>
      <c r="F974" s="99">
        <v>2.0</v>
      </c>
      <c r="H974" s="67" t="s">
        <v>7</v>
      </c>
      <c r="I974" s="68"/>
      <c r="J974" s="191"/>
      <c r="K974" s="97" t="s">
        <v>10</v>
      </c>
      <c r="L974" s="98">
        <v>1.0</v>
      </c>
      <c r="M974" s="99"/>
      <c r="O974" s="67" t="s">
        <v>10</v>
      </c>
      <c r="P974" s="68">
        <v>4.0</v>
      </c>
      <c r="Q974" s="69">
        <v>1.0</v>
      </c>
      <c r="R974" s="97" t="s">
        <v>4</v>
      </c>
      <c r="S974" s="98"/>
      <c r="T974" s="99">
        <v>1.0</v>
      </c>
      <c r="V974" s="67" t="s">
        <v>18</v>
      </c>
      <c r="W974" s="68"/>
      <c r="X974" s="69"/>
      <c r="Y974" s="97" t="s">
        <v>7</v>
      </c>
      <c r="Z974" s="98">
        <v>1.0</v>
      </c>
      <c r="AA974" s="99">
        <v>2.0</v>
      </c>
      <c r="AC974" s="52" t="s">
        <v>277</v>
      </c>
      <c r="AD974" s="52">
        <v>6.0</v>
      </c>
      <c r="AF974" s="52" t="s">
        <v>49</v>
      </c>
      <c r="AG974" s="52">
        <v>2.0</v>
      </c>
    </row>
    <row r="975" ht="14.25" customHeight="1">
      <c r="A975" s="72" t="s">
        <v>263</v>
      </c>
      <c r="B975" s="73">
        <v>1.0</v>
      </c>
      <c r="C975" s="69">
        <v>1.0</v>
      </c>
      <c r="D975" s="218" t="s">
        <v>332</v>
      </c>
      <c r="E975" s="101"/>
      <c r="F975" s="102">
        <v>2.0</v>
      </c>
      <c r="H975" s="72" t="s">
        <v>210</v>
      </c>
      <c r="I975" s="73"/>
      <c r="J975" s="191">
        <v>1.0</v>
      </c>
      <c r="K975" s="100" t="s">
        <v>11</v>
      </c>
      <c r="L975" s="101"/>
      <c r="M975" s="102"/>
      <c r="O975" s="72" t="s">
        <v>7</v>
      </c>
      <c r="P975" s="73">
        <v>3.0</v>
      </c>
      <c r="Q975" s="69"/>
      <c r="R975" s="100" t="s">
        <v>263</v>
      </c>
      <c r="S975" s="101">
        <v>1.0</v>
      </c>
      <c r="T975" s="102"/>
      <c r="V975" s="72" t="s">
        <v>57</v>
      </c>
      <c r="W975" s="73">
        <v>1.0</v>
      </c>
      <c r="X975" s="69"/>
      <c r="Y975" s="100" t="s">
        <v>210</v>
      </c>
      <c r="Z975" s="101">
        <v>1.0</v>
      </c>
      <c r="AA975" s="102">
        <v>1.0</v>
      </c>
      <c r="AC975" s="52" t="s">
        <v>29</v>
      </c>
      <c r="AD975" s="52">
        <v>6.0</v>
      </c>
      <c r="AF975" s="52" t="s">
        <v>289</v>
      </c>
      <c r="AG975" s="52">
        <v>1.0</v>
      </c>
    </row>
    <row r="976" ht="14.25" customHeight="1">
      <c r="A976" s="72" t="s">
        <v>4</v>
      </c>
      <c r="B976" s="73">
        <v>2.0</v>
      </c>
      <c r="C976" s="69">
        <v>1.0</v>
      </c>
      <c r="D976" s="100" t="s">
        <v>7</v>
      </c>
      <c r="E976" s="101">
        <v>2.0</v>
      </c>
      <c r="F976" s="102">
        <v>1.0</v>
      </c>
      <c r="H976" s="72" t="s">
        <v>166</v>
      </c>
      <c r="I976" s="73">
        <v>1.0</v>
      </c>
      <c r="J976" s="191"/>
      <c r="K976" s="100" t="s">
        <v>18</v>
      </c>
      <c r="L976" s="101"/>
      <c r="M976" s="102"/>
      <c r="O976" s="72" t="s">
        <v>17</v>
      </c>
      <c r="P976" s="73"/>
      <c r="Q976" s="69"/>
      <c r="R976" s="100" t="s">
        <v>278</v>
      </c>
      <c r="S976" s="101">
        <v>1.0</v>
      </c>
      <c r="T976" s="102"/>
      <c r="V976" s="72" t="s">
        <v>5</v>
      </c>
      <c r="W976" s="73"/>
      <c r="X976" s="69">
        <v>1.0</v>
      </c>
      <c r="Y976" s="100" t="s">
        <v>278</v>
      </c>
      <c r="Z976" s="101">
        <v>1.0</v>
      </c>
      <c r="AA976" s="102">
        <v>1.0</v>
      </c>
      <c r="AC976" s="52" t="s">
        <v>82</v>
      </c>
      <c r="AD976" s="52">
        <v>5.0</v>
      </c>
      <c r="AF976" s="52" t="s">
        <v>84</v>
      </c>
      <c r="AG976" s="52">
        <v>1.0</v>
      </c>
    </row>
    <row r="977" ht="14.25" customHeight="1">
      <c r="A977" s="72" t="s">
        <v>166</v>
      </c>
      <c r="B977" s="73">
        <v>1.0</v>
      </c>
      <c r="C977" s="69"/>
      <c r="D977" s="100" t="s">
        <v>278</v>
      </c>
      <c r="E977" s="101">
        <v>4.0</v>
      </c>
      <c r="F977" s="102">
        <v>1.0</v>
      </c>
      <c r="H977" s="72" t="s">
        <v>278</v>
      </c>
      <c r="I977" s="73"/>
      <c r="J977" s="191"/>
      <c r="K977" s="100" t="s">
        <v>5</v>
      </c>
      <c r="L977" s="101"/>
      <c r="M977" s="102"/>
      <c r="O977" s="72" t="s">
        <v>20</v>
      </c>
      <c r="P977" s="73"/>
      <c r="Q977" s="69"/>
      <c r="R977" s="100" t="s">
        <v>166</v>
      </c>
      <c r="S977" s="101">
        <v>1.0</v>
      </c>
      <c r="T977" s="102"/>
      <c r="V977" s="72" t="s">
        <v>10</v>
      </c>
      <c r="W977" s="73"/>
      <c r="X977" s="69">
        <v>1.0</v>
      </c>
      <c r="Y977" s="100" t="s">
        <v>20</v>
      </c>
      <c r="Z977" s="101">
        <v>6.0</v>
      </c>
      <c r="AA977" s="102"/>
      <c r="AC977" s="52" t="s">
        <v>61</v>
      </c>
      <c r="AD977" s="52">
        <v>5.0</v>
      </c>
    </row>
    <row r="978" ht="14.25" customHeight="1">
      <c r="A978" s="77" t="s">
        <v>5</v>
      </c>
      <c r="B978" s="78">
        <v>1.0</v>
      </c>
      <c r="C978" s="82"/>
      <c r="D978" s="103" t="s">
        <v>17</v>
      </c>
      <c r="E978" s="104">
        <v>3.0</v>
      </c>
      <c r="F978" s="105">
        <v>1.0</v>
      </c>
      <c r="H978" s="77" t="s">
        <v>263</v>
      </c>
      <c r="I978" s="78"/>
      <c r="J978" s="190"/>
      <c r="K978" s="103" t="s">
        <v>17</v>
      </c>
      <c r="L978" s="104"/>
      <c r="M978" s="105"/>
      <c r="O978" s="77" t="s">
        <v>5</v>
      </c>
      <c r="P978" s="78">
        <v>1.0</v>
      </c>
      <c r="Q978" s="190"/>
      <c r="R978" s="103" t="s">
        <v>18</v>
      </c>
      <c r="S978" s="104"/>
      <c r="T978" s="105">
        <v>1.0</v>
      </c>
      <c r="V978" s="77" t="s">
        <v>17</v>
      </c>
      <c r="W978" s="78">
        <v>2.0</v>
      </c>
      <c r="X978" s="82"/>
      <c r="Y978" s="103" t="s">
        <v>296</v>
      </c>
      <c r="Z978" s="104"/>
      <c r="AA978" s="105"/>
      <c r="AC978" s="52" t="s">
        <v>203</v>
      </c>
      <c r="AD978" s="52">
        <v>3.0</v>
      </c>
      <c r="AF978" s="52" t="s">
        <v>258</v>
      </c>
      <c r="AG978" s="52">
        <v>1.0</v>
      </c>
    </row>
    <row r="979" ht="14.25" customHeight="1">
      <c r="K979" s="103" t="s">
        <v>261</v>
      </c>
      <c r="L979" s="104">
        <v>1.0</v>
      </c>
      <c r="R979" s="103" t="s">
        <v>144</v>
      </c>
      <c r="S979" s="104">
        <v>1.0</v>
      </c>
      <c r="AC979" s="52" t="s">
        <v>8</v>
      </c>
      <c r="AD979" s="52">
        <v>2.0</v>
      </c>
      <c r="AF979" s="52" t="s">
        <v>144</v>
      </c>
      <c r="AG979" s="52">
        <v>1.0</v>
      </c>
    </row>
    <row r="980" ht="14.25" customHeight="1">
      <c r="AD980" s="48"/>
      <c r="AG980" s="48"/>
    </row>
    <row r="981" ht="14.25" customHeight="1">
      <c r="Y981" s="56">
        <f>A972+D972+H972+K972+O972+R972+V972+Y972</f>
        <v>42</v>
      </c>
      <c r="Z981" s="3"/>
    </row>
    <row r="982" ht="14.25" customHeight="1"/>
    <row r="983" ht="14.25" customHeight="1"/>
    <row r="984" ht="14.25" customHeight="1">
      <c r="P984" s="8">
        <v>45474.0</v>
      </c>
      <c r="Q984" s="2"/>
      <c r="R984" s="2"/>
      <c r="S984" s="3"/>
    </row>
    <row r="985" ht="14.25" customHeight="1">
      <c r="AC985" s="52" t="s">
        <v>333</v>
      </c>
    </row>
    <row r="986" ht="14.25" customHeight="1">
      <c r="A986" s="9">
        <v>43.0</v>
      </c>
      <c r="B986" s="10">
        <v>45475.0</v>
      </c>
      <c r="C986" s="2"/>
      <c r="D986" s="2"/>
      <c r="E986" s="2"/>
      <c r="F986" s="3"/>
      <c r="H986" s="9">
        <v>44.0</v>
      </c>
      <c r="I986" s="10">
        <v>45482.0</v>
      </c>
      <c r="J986" s="2"/>
      <c r="K986" s="2"/>
      <c r="L986" s="2"/>
      <c r="M986" s="3"/>
      <c r="O986" s="9">
        <v>45.0</v>
      </c>
      <c r="P986" s="10">
        <v>45489.0</v>
      </c>
      <c r="Q986" s="2"/>
      <c r="R986" s="2"/>
      <c r="S986" s="2"/>
      <c r="T986" s="3"/>
      <c r="V986" s="9">
        <v>46.0</v>
      </c>
      <c r="W986" s="10">
        <v>45496.0</v>
      </c>
      <c r="X986" s="2"/>
      <c r="Y986" s="2"/>
      <c r="Z986" s="2"/>
      <c r="AA986" s="3"/>
      <c r="AC986" s="9">
        <v>47.0</v>
      </c>
      <c r="AD986" s="10">
        <v>45503.0</v>
      </c>
      <c r="AE986" s="2"/>
      <c r="AF986" s="2"/>
      <c r="AG986" s="2"/>
      <c r="AH986" s="3"/>
    </row>
    <row r="987" ht="14.25" customHeight="1">
      <c r="A987" s="14">
        <v>6.0</v>
      </c>
      <c r="B987" s="2"/>
      <c r="C987" s="3"/>
      <c r="D987" s="39">
        <v>3.0</v>
      </c>
      <c r="E987" s="2"/>
      <c r="F987" s="3"/>
      <c r="H987" s="14">
        <v>6.0</v>
      </c>
      <c r="I987" s="2"/>
      <c r="J987" s="3"/>
      <c r="K987" s="39">
        <v>7.0</v>
      </c>
      <c r="L987" s="2"/>
      <c r="M987" s="3"/>
      <c r="O987" s="14">
        <v>5.0</v>
      </c>
      <c r="P987" s="2"/>
      <c r="Q987" s="3"/>
      <c r="R987" s="39">
        <v>5.0</v>
      </c>
      <c r="S987" s="2"/>
      <c r="T987" s="3"/>
      <c r="V987" s="14">
        <v>5.0</v>
      </c>
      <c r="W987" s="2"/>
      <c r="X987" s="3"/>
      <c r="Y987" s="39">
        <v>4.0</v>
      </c>
      <c r="Z987" s="2"/>
      <c r="AA987" s="3"/>
      <c r="AC987" s="14">
        <v>9.0</v>
      </c>
      <c r="AD987" s="2"/>
      <c r="AE987" s="3"/>
      <c r="AF987" s="39">
        <v>3.0</v>
      </c>
      <c r="AG987" s="2"/>
      <c r="AH987" s="3"/>
    </row>
    <row r="988" ht="12.0" customHeight="1">
      <c r="A988" s="66"/>
      <c r="B988" s="61" t="s">
        <v>69</v>
      </c>
      <c r="C988" s="62" t="s">
        <v>70</v>
      </c>
      <c r="D988" s="94"/>
      <c r="E988" s="95" t="s">
        <v>69</v>
      </c>
      <c r="F988" s="96" t="s">
        <v>70</v>
      </c>
      <c r="H988" s="66"/>
      <c r="I988" s="61" t="s">
        <v>69</v>
      </c>
      <c r="J988" s="62" t="s">
        <v>70</v>
      </c>
      <c r="K988" s="94"/>
      <c r="L988" s="95" t="s">
        <v>69</v>
      </c>
      <c r="M988" s="96" t="s">
        <v>70</v>
      </c>
      <c r="O988" s="66"/>
      <c r="P988" s="61" t="s">
        <v>69</v>
      </c>
      <c r="Q988" s="62" t="s">
        <v>70</v>
      </c>
      <c r="R988" s="94"/>
      <c r="S988" s="95" t="s">
        <v>69</v>
      </c>
      <c r="T988" s="96" t="s">
        <v>70</v>
      </c>
      <c r="V988" s="66"/>
      <c r="W988" s="61" t="s">
        <v>69</v>
      </c>
      <c r="X988" s="62" t="s">
        <v>70</v>
      </c>
      <c r="Y988" s="94"/>
      <c r="Z988" s="95" t="s">
        <v>69</v>
      </c>
      <c r="AA988" s="96" t="s">
        <v>70</v>
      </c>
      <c r="AC988" s="66"/>
      <c r="AD988" s="61" t="s">
        <v>69</v>
      </c>
      <c r="AE988" s="62" t="s">
        <v>70</v>
      </c>
      <c r="AF988" s="94"/>
      <c r="AG988" s="95" t="s">
        <v>69</v>
      </c>
      <c r="AH988" s="96" t="s">
        <v>70</v>
      </c>
    </row>
    <row r="989" ht="14.25" customHeight="1">
      <c r="A989" s="67" t="s">
        <v>10</v>
      </c>
      <c r="B989" s="68"/>
      <c r="C989" s="69">
        <v>1.0</v>
      </c>
      <c r="D989" s="97" t="s">
        <v>18</v>
      </c>
      <c r="E989" s="98"/>
      <c r="F989" s="99">
        <v>1.0</v>
      </c>
      <c r="H989" s="67" t="s">
        <v>18</v>
      </c>
      <c r="I989" s="68"/>
      <c r="J989" s="69">
        <v>1.0</v>
      </c>
      <c r="K989" s="97" t="s">
        <v>10</v>
      </c>
      <c r="L989" s="98"/>
      <c r="M989" s="99">
        <v>2.0</v>
      </c>
      <c r="O989" s="67" t="s">
        <v>5</v>
      </c>
      <c r="P989" s="68">
        <v>3.0</v>
      </c>
      <c r="Q989" s="69"/>
      <c r="R989" s="97" t="s">
        <v>263</v>
      </c>
      <c r="S989" s="98"/>
      <c r="T989" s="99">
        <v>1.0</v>
      </c>
      <c r="V989" s="67" t="s">
        <v>10</v>
      </c>
      <c r="W989" s="68">
        <v>1.0</v>
      </c>
      <c r="X989" s="69"/>
      <c r="Y989" s="97" t="s">
        <v>263</v>
      </c>
      <c r="Z989" s="98">
        <v>3.0</v>
      </c>
      <c r="AA989" s="99">
        <v>1.0</v>
      </c>
      <c r="AC989" s="67" t="s">
        <v>10</v>
      </c>
      <c r="AD989" s="68"/>
      <c r="AE989" s="69">
        <v>3.0</v>
      </c>
      <c r="AF989" s="97" t="s">
        <v>18</v>
      </c>
      <c r="AG989" s="98">
        <v>1.0</v>
      </c>
      <c r="AH989" s="99"/>
    </row>
    <row r="990" ht="14.25" customHeight="1">
      <c r="A990" s="72" t="s">
        <v>7</v>
      </c>
      <c r="B990" s="73"/>
      <c r="C990" s="69">
        <v>1.0</v>
      </c>
      <c r="D990" s="100" t="s">
        <v>11</v>
      </c>
      <c r="E990" s="101">
        <v>1.0</v>
      </c>
      <c r="F990" s="102"/>
      <c r="H990" s="72" t="s">
        <v>296</v>
      </c>
      <c r="I990" s="73">
        <v>1.0</v>
      </c>
      <c r="J990" s="69">
        <v>2.0</v>
      </c>
      <c r="K990" s="100" t="s">
        <v>7</v>
      </c>
      <c r="L990" s="101"/>
      <c r="M990" s="102">
        <v>3.0</v>
      </c>
      <c r="O990" s="72" t="s">
        <v>54</v>
      </c>
      <c r="P990" s="73"/>
      <c r="Q990" s="69">
        <v>2.0</v>
      </c>
      <c r="R990" s="100" t="s">
        <v>10</v>
      </c>
      <c r="S990" s="101"/>
      <c r="T990" s="102">
        <v>3.0</v>
      </c>
      <c r="V990" s="72" t="s">
        <v>18</v>
      </c>
      <c r="W990" s="73">
        <v>1.0</v>
      </c>
      <c r="X990" s="69"/>
      <c r="Y990" s="100" t="s">
        <v>4</v>
      </c>
      <c r="Z990" s="101"/>
      <c r="AA990" s="102">
        <v>1.0</v>
      </c>
      <c r="AC990" s="72" t="s">
        <v>263</v>
      </c>
      <c r="AD990" s="73">
        <v>2.0</v>
      </c>
      <c r="AE990" s="69">
        <v>1.0</v>
      </c>
      <c r="AF990" s="100" t="s">
        <v>153</v>
      </c>
      <c r="AG990" s="101"/>
      <c r="AH990" s="102">
        <v>1.0</v>
      </c>
    </row>
    <row r="991" ht="14.25" customHeight="1">
      <c r="A991" s="72" t="s">
        <v>20</v>
      </c>
      <c r="B991" s="73">
        <v>1.0</v>
      </c>
      <c r="C991" s="69">
        <v>1.0</v>
      </c>
      <c r="D991" s="100" t="s">
        <v>9</v>
      </c>
      <c r="E991" s="101"/>
      <c r="F991" s="102">
        <v>1.0</v>
      </c>
      <c r="H991" s="72" t="s">
        <v>210</v>
      </c>
      <c r="I991" s="73">
        <v>3.0</v>
      </c>
      <c r="J991" s="69"/>
      <c r="K991" s="100" t="s">
        <v>17</v>
      </c>
      <c r="L991" s="101">
        <v>3.0</v>
      </c>
      <c r="M991" s="102">
        <v>1.0</v>
      </c>
      <c r="O991" s="192" t="s">
        <v>334</v>
      </c>
      <c r="P991" s="73">
        <v>2.0</v>
      </c>
      <c r="Q991" s="69"/>
      <c r="R991" s="100" t="s">
        <v>210</v>
      </c>
      <c r="S991" s="101">
        <v>1.0</v>
      </c>
      <c r="T991" s="102"/>
      <c r="V991" s="72" t="s">
        <v>7</v>
      </c>
      <c r="W991" s="73">
        <v>1.0</v>
      </c>
      <c r="X991" s="69"/>
      <c r="Y991" s="100" t="s">
        <v>166</v>
      </c>
      <c r="Z991" s="101"/>
      <c r="AA991" s="102">
        <v>1.0</v>
      </c>
      <c r="AC991" s="72" t="s">
        <v>166</v>
      </c>
      <c r="AD991" s="73"/>
      <c r="AE991" s="69"/>
      <c r="AF991" s="100" t="s">
        <v>7</v>
      </c>
      <c r="AG991" s="101">
        <v>1.0</v>
      </c>
      <c r="AH991" s="102"/>
    </row>
    <row r="992" ht="14.25" customHeight="1">
      <c r="A992" s="72" t="s">
        <v>4</v>
      </c>
      <c r="B992" s="73">
        <v>3.0</v>
      </c>
      <c r="C992" s="69">
        <v>2.0</v>
      </c>
      <c r="D992" s="100" t="s">
        <v>153</v>
      </c>
      <c r="E992" s="101">
        <v>1.0</v>
      </c>
      <c r="F992" s="102">
        <v>1.0</v>
      </c>
      <c r="H992" s="72" t="s">
        <v>4</v>
      </c>
      <c r="I992" s="73">
        <v>2.0</v>
      </c>
      <c r="J992" s="69">
        <v>2.0</v>
      </c>
      <c r="K992" s="100" t="s">
        <v>57</v>
      </c>
      <c r="L992" s="101">
        <v>2.0</v>
      </c>
      <c r="M992" s="102">
        <v>1.0</v>
      </c>
      <c r="O992" s="72" t="s">
        <v>278</v>
      </c>
      <c r="P992" s="73"/>
      <c r="Q992" s="69">
        <v>1.0</v>
      </c>
      <c r="R992" s="100" t="s">
        <v>4</v>
      </c>
      <c r="S992" s="101">
        <v>4.0</v>
      </c>
      <c r="T992" s="102"/>
      <c r="V992" s="72" t="s">
        <v>153</v>
      </c>
      <c r="W992" s="73">
        <v>1.0</v>
      </c>
      <c r="X992" s="69">
        <v>2.0</v>
      </c>
      <c r="Y992" s="100" t="s">
        <v>17</v>
      </c>
      <c r="Z992" s="101"/>
      <c r="AA992" s="102">
        <v>1.0</v>
      </c>
      <c r="AC992" s="72" t="s">
        <v>335</v>
      </c>
      <c r="AD992" s="73">
        <v>4.0</v>
      </c>
      <c r="AE992" s="69">
        <v>1.0</v>
      </c>
      <c r="AF992" s="100" t="s">
        <v>5</v>
      </c>
      <c r="AG992" s="101"/>
      <c r="AH992" s="102"/>
    </row>
    <row r="993" ht="14.25" customHeight="1">
      <c r="A993" s="77" t="s">
        <v>210</v>
      </c>
      <c r="B993" s="78">
        <v>2.0</v>
      </c>
      <c r="C993" s="82"/>
      <c r="D993" s="103" t="s">
        <v>166</v>
      </c>
      <c r="E993" s="104">
        <v>1.0</v>
      </c>
      <c r="F993" s="105"/>
      <c r="H993" s="77" t="s">
        <v>9</v>
      </c>
      <c r="I993" s="78"/>
      <c r="J993" s="82"/>
      <c r="K993" s="103" t="s">
        <v>166</v>
      </c>
      <c r="L993" s="104">
        <v>2.0</v>
      </c>
      <c r="M993" s="105"/>
      <c r="O993" s="77" t="s">
        <v>18</v>
      </c>
      <c r="P993" s="78"/>
      <c r="Q993" s="82"/>
      <c r="R993" s="103" t="s">
        <v>20</v>
      </c>
      <c r="S993" s="104"/>
      <c r="T993" s="105">
        <v>1.0</v>
      </c>
      <c r="V993" s="77" t="s">
        <v>5</v>
      </c>
      <c r="W993" s="78">
        <v>1.0</v>
      </c>
      <c r="X993" s="82"/>
      <c r="Y993" s="103" t="s">
        <v>57</v>
      </c>
      <c r="Z993" s="104">
        <v>1.0</v>
      </c>
      <c r="AA993" s="105"/>
      <c r="AC993" s="77" t="s">
        <v>4</v>
      </c>
      <c r="AD993" s="78">
        <v>3.0</v>
      </c>
      <c r="AE993" s="82">
        <v>1.0</v>
      </c>
      <c r="AF993" s="103" t="s">
        <v>17</v>
      </c>
      <c r="AG993" s="104"/>
      <c r="AH993" s="105">
        <v>1.0</v>
      </c>
    </row>
    <row r="994" ht="14.25" customHeight="1">
      <c r="AF994" s="103" t="s">
        <v>336</v>
      </c>
      <c r="AG994" s="104">
        <v>1.0</v>
      </c>
    </row>
    <row r="995" ht="14.25" customHeight="1"/>
    <row r="996" ht="14.25" customHeight="1">
      <c r="V996" s="90"/>
      <c r="W996" s="90"/>
      <c r="X996" s="90"/>
      <c r="Y996" s="90"/>
      <c r="Z996" s="90"/>
    </row>
    <row r="997" ht="14.25" customHeight="1">
      <c r="A997" s="146"/>
      <c r="B997" s="146"/>
      <c r="C997" s="146"/>
      <c r="D997" s="51" t="s">
        <v>337</v>
      </c>
      <c r="E997" s="2"/>
      <c r="F997" s="2"/>
      <c r="G997" s="2"/>
      <c r="H997" s="3"/>
      <c r="O997" s="135"/>
      <c r="V997" s="55" t="s">
        <v>3</v>
      </c>
      <c r="W997" s="2"/>
      <c r="X997" s="3"/>
      <c r="Y997" s="56">
        <f>A987+D987+H987+K987+O987+R987+V987+Y987+AC987+AF987</f>
        <v>53</v>
      </c>
      <c r="Z997" s="3"/>
    </row>
    <row r="998" ht="14.25" customHeight="1"/>
    <row r="999" ht="14.25" customHeight="1">
      <c r="D999" s="52" t="s">
        <v>49</v>
      </c>
      <c r="E999" s="52">
        <v>12.0</v>
      </c>
      <c r="H999" s="52" t="s">
        <v>265</v>
      </c>
      <c r="I999" s="52">
        <v>2.0</v>
      </c>
    </row>
    <row r="1000" ht="14.25" customHeight="1">
      <c r="D1000" s="52" t="s">
        <v>289</v>
      </c>
      <c r="E1000" s="52">
        <v>6.0</v>
      </c>
      <c r="H1000" s="52" t="s">
        <v>232</v>
      </c>
      <c r="I1000" s="52">
        <v>2.0</v>
      </c>
    </row>
    <row r="1001" ht="14.25" customHeight="1">
      <c r="D1001" s="52" t="s">
        <v>267</v>
      </c>
      <c r="E1001" s="52">
        <v>5.0</v>
      </c>
      <c r="H1001" s="52" t="s">
        <v>29</v>
      </c>
      <c r="I1001" s="52">
        <v>2.0</v>
      </c>
    </row>
    <row r="1002" ht="14.25" customHeight="1">
      <c r="D1002" s="52" t="s">
        <v>8</v>
      </c>
      <c r="E1002" s="52">
        <v>4.0</v>
      </c>
      <c r="H1002" s="52" t="s">
        <v>91</v>
      </c>
      <c r="I1002" s="52">
        <v>2.0</v>
      </c>
    </row>
    <row r="1003" ht="14.25" customHeight="1">
      <c r="D1003" s="52" t="s">
        <v>277</v>
      </c>
      <c r="E1003" s="52">
        <v>4.0</v>
      </c>
      <c r="H1003" s="52" t="s">
        <v>41</v>
      </c>
      <c r="I1003" s="52">
        <v>1.0</v>
      </c>
    </row>
    <row r="1004" ht="14.25" customHeight="1">
      <c r="D1004" s="52" t="s">
        <v>203</v>
      </c>
      <c r="E1004" s="52">
        <v>3.0</v>
      </c>
      <c r="H1004" s="52" t="s">
        <v>38</v>
      </c>
      <c r="I1004" s="52">
        <v>1.0</v>
      </c>
    </row>
    <row r="1005" ht="14.25" customHeight="1">
      <c r="D1005" s="52" t="s">
        <v>84</v>
      </c>
      <c r="E1005" s="52">
        <v>3.0</v>
      </c>
      <c r="H1005" s="52" t="s">
        <v>82</v>
      </c>
      <c r="I1005" s="52">
        <v>1.0</v>
      </c>
    </row>
    <row r="1006" ht="14.25" customHeight="1">
      <c r="D1006" s="52" t="s">
        <v>61</v>
      </c>
      <c r="E1006" s="52">
        <v>3.0</v>
      </c>
      <c r="H1006" s="52" t="s">
        <v>297</v>
      </c>
      <c r="I1006" s="52">
        <v>1.0</v>
      </c>
    </row>
    <row r="1007" ht="14.25" customHeight="1">
      <c r="E1007" s="48"/>
      <c r="H1007" s="52" t="s">
        <v>336</v>
      </c>
      <c r="I1007" s="52">
        <v>1.0</v>
      </c>
      <c r="J1007" s="48"/>
    </row>
    <row r="1008" ht="14.25" customHeight="1">
      <c r="I1008" s="48"/>
    </row>
    <row r="1009" ht="14.25" customHeight="1">
      <c r="P1009" s="8">
        <v>45505.0</v>
      </c>
      <c r="Q1009" s="2"/>
      <c r="R1009" s="2"/>
      <c r="S1009" s="3"/>
    </row>
    <row r="1010" ht="14.25" customHeight="1">
      <c r="A1010" s="52" t="s">
        <v>333</v>
      </c>
    </row>
    <row r="1011" ht="14.25" customHeight="1">
      <c r="A1011" s="9">
        <v>48.0</v>
      </c>
      <c r="B1011" s="10">
        <v>45517.0</v>
      </c>
      <c r="C1011" s="2"/>
      <c r="D1011" s="2"/>
      <c r="E1011" s="2"/>
      <c r="F1011" s="3"/>
      <c r="H1011" s="9">
        <v>49.0</v>
      </c>
      <c r="I1011" s="10">
        <v>45524.0</v>
      </c>
      <c r="J1011" s="2"/>
      <c r="K1011" s="2"/>
      <c r="L1011" s="2"/>
      <c r="M1011" s="3"/>
      <c r="O1011" s="9">
        <v>50.0</v>
      </c>
      <c r="P1011" s="10">
        <v>45531.0</v>
      </c>
      <c r="Q1011" s="2"/>
      <c r="R1011" s="2"/>
      <c r="S1011" s="2"/>
      <c r="T1011" s="3"/>
      <c r="W1011" s="146"/>
      <c r="X1011" s="146"/>
      <c r="Y1011" s="51" t="s">
        <v>338</v>
      </c>
      <c r="Z1011" s="2"/>
      <c r="AA1011" s="2"/>
      <c r="AB1011" s="2"/>
      <c r="AC1011" s="3"/>
      <c r="AD1011" s="146"/>
      <c r="AE1011" s="146"/>
      <c r="AF1011" s="146"/>
      <c r="AG1011" s="146"/>
    </row>
    <row r="1012" ht="14.25" customHeight="1">
      <c r="A1012" s="14">
        <v>6.0</v>
      </c>
      <c r="B1012" s="2"/>
      <c r="C1012" s="3"/>
      <c r="D1012" s="39">
        <v>5.0</v>
      </c>
      <c r="E1012" s="2"/>
      <c r="F1012" s="3"/>
      <c r="H1012" s="14">
        <v>8.0</v>
      </c>
      <c r="I1012" s="2"/>
      <c r="J1012" s="3"/>
      <c r="K1012" s="39">
        <v>4.0</v>
      </c>
      <c r="L1012" s="2"/>
      <c r="M1012" s="3"/>
      <c r="O1012" s="14">
        <v>8.0</v>
      </c>
      <c r="P1012" s="2"/>
      <c r="Q1012" s="3"/>
      <c r="R1012" s="39">
        <v>6.0</v>
      </c>
      <c r="S1012" s="2"/>
      <c r="T1012" s="3"/>
    </row>
    <row r="1013" ht="12.0" customHeight="1">
      <c r="A1013" s="60"/>
      <c r="B1013" s="61" t="s">
        <v>69</v>
      </c>
      <c r="C1013" s="62" t="s">
        <v>70</v>
      </c>
      <c r="D1013" s="94"/>
      <c r="E1013" s="95" t="s">
        <v>69</v>
      </c>
      <c r="F1013" s="96" t="s">
        <v>70</v>
      </c>
      <c r="H1013" s="66"/>
      <c r="I1013" s="61" t="s">
        <v>69</v>
      </c>
      <c r="J1013" s="61" t="s">
        <v>70</v>
      </c>
      <c r="K1013" s="94"/>
      <c r="L1013" s="95" t="s">
        <v>69</v>
      </c>
      <c r="M1013" s="96" t="s">
        <v>70</v>
      </c>
      <c r="O1013" s="66"/>
      <c r="P1013" s="61" t="s">
        <v>69</v>
      </c>
      <c r="Q1013" s="62" t="s">
        <v>70</v>
      </c>
      <c r="R1013" s="94"/>
      <c r="S1013" s="95" t="s">
        <v>69</v>
      </c>
      <c r="T1013" s="96" t="s">
        <v>70</v>
      </c>
      <c r="Y1013" s="52" t="s">
        <v>203</v>
      </c>
      <c r="Z1013" s="52">
        <v>7.0</v>
      </c>
      <c r="AC1013" s="52" t="s">
        <v>82</v>
      </c>
      <c r="AD1013" s="52">
        <v>2.0</v>
      </c>
    </row>
    <row r="1014" ht="14.25" customHeight="1">
      <c r="A1014" s="67" t="s">
        <v>5</v>
      </c>
      <c r="B1014" s="68"/>
      <c r="C1014" s="69">
        <v>1.0</v>
      </c>
      <c r="D1014" s="97" t="s">
        <v>7</v>
      </c>
      <c r="E1014" s="98"/>
      <c r="F1014" s="99">
        <v>1.0</v>
      </c>
      <c r="H1014" s="67" t="s">
        <v>296</v>
      </c>
      <c r="I1014" s="68">
        <v>3.0</v>
      </c>
      <c r="J1014" s="191">
        <v>2.0</v>
      </c>
      <c r="K1014" s="97" t="s">
        <v>263</v>
      </c>
      <c r="L1014" s="98"/>
      <c r="M1014" s="99"/>
      <c r="O1014" s="67" t="s">
        <v>11</v>
      </c>
      <c r="P1014" s="68">
        <v>1.0</v>
      </c>
      <c r="Q1014" s="69"/>
      <c r="R1014" s="97" t="s">
        <v>18</v>
      </c>
      <c r="S1014" s="98"/>
      <c r="T1014" s="99"/>
      <c r="Y1014" s="52" t="s">
        <v>277</v>
      </c>
      <c r="Z1014" s="52">
        <v>6.0</v>
      </c>
      <c r="AC1014" s="52" t="s">
        <v>49</v>
      </c>
      <c r="AD1014" s="52">
        <v>2.0</v>
      </c>
    </row>
    <row r="1015" ht="14.25" customHeight="1">
      <c r="A1015" s="72" t="s">
        <v>54</v>
      </c>
      <c r="B1015" s="73"/>
      <c r="C1015" s="69"/>
      <c r="D1015" s="100" t="s">
        <v>14</v>
      </c>
      <c r="E1015" s="101">
        <v>3.0</v>
      </c>
      <c r="F1015" s="102"/>
      <c r="H1015" s="72" t="s">
        <v>10</v>
      </c>
      <c r="I1015" s="73">
        <v>1.0</v>
      </c>
      <c r="J1015" s="191">
        <v>3.0</v>
      </c>
      <c r="K1015" s="100" t="s">
        <v>210</v>
      </c>
      <c r="L1015" s="101"/>
      <c r="M1015" s="102"/>
      <c r="O1015" s="72" t="s">
        <v>263</v>
      </c>
      <c r="P1015" s="73"/>
      <c r="Q1015" s="69"/>
      <c r="R1015" s="100" t="s">
        <v>296</v>
      </c>
      <c r="S1015" s="101">
        <v>1.0</v>
      </c>
      <c r="T1015" s="102">
        <v>2.0</v>
      </c>
      <c r="Y1015" s="52" t="s">
        <v>36</v>
      </c>
      <c r="Z1015" s="52">
        <v>4.0</v>
      </c>
      <c r="AC1015" s="52" t="s">
        <v>61</v>
      </c>
      <c r="AD1015" s="52">
        <v>1.0</v>
      </c>
    </row>
    <row r="1016" ht="14.25" customHeight="1">
      <c r="A1016" s="72" t="s">
        <v>278</v>
      </c>
      <c r="B1016" s="73">
        <v>2.0</v>
      </c>
      <c r="C1016" s="69"/>
      <c r="D1016" s="100" t="s">
        <v>17</v>
      </c>
      <c r="E1016" s="101">
        <v>1.0</v>
      </c>
      <c r="F1016" s="102"/>
      <c r="H1016" s="72" t="s">
        <v>7</v>
      </c>
      <c r="I1016" s="73"/>
      <c r="J1016" s="191">
        <v>2.0</v>
      </c>
      <c r="K1016" s="100" t="s">
        <v>17</v>
      </c>
      <c r="L1016" s="101"/>
      <c r="M1016" s="102">
        <v>2.0</v>
      </c>
      <c r="O1016" s="72" t="s">
        <v>166</v>
      </c>
      <c r="P1016" s="73">
        <v>2.0</v>
      </c>
      <c r="Q1016" s="69"/>
      <c r="R1016" s="100" t="s">
        <v>278</v>
      </c>
      <c r="S1016" s="101">
        <v>3.0</v>
      </c>
      <c r="T1016" s="102"/>
      <c r="Y1016" s="52" t="s">
        <v>297</v>
      </c>
      <c r="Z1016" s="52">
        <v>4.0</v>
      </c>
      <c r="AC1016" s="52" t="s">
        <v>91</v>
      </c>
      <c r="AD1016" s="52">
        <v>1.0</v>
      </c>
    </row>
    <row r="1017" ht="14.25" customHeight="1">
      <c r="A1017" s="72" t="s">
        <v>166</v>
      </c>
      <c r="B1017" s="73">
        <v>2.0</v>
      </c>
      <c r="C1017" s="69">
        <v>1.0</v>
      </c>
      <c r="D1017" s="100" t="s">
        <v>10</v>
      </c>
      <c r="E1017" s="101">
        <v>1.0</v>
      </c>
      <c r="F1017" s="102">
        <v>2.0</v>
      </c>
      <c r="H1017" s="72" t="s">
        <v>18</v>
      </c>
      <c r="I1017" s="73">
        <v>1.0</v>
      </c>
      <c r="J1017" s="191"/>
      <c r="K1017" s="100" t="s">
        <v>166</v>
      </c>
      <c r="L1017" s="101">
        <v>3.0</v>
      </c>
      <c r="M1017" s="102"/>
      <c r="O1017" s="72" t="s">
        <v>4</v>
      </c>
      <c r="P1017" s="73">
        <v>2.0</v>
      </c>
      <c r="Q1017" s="69">
        <v>2.0</v>
      </c>
      <c r="R1017" s="100" t="s">
        <v>5</v>
      </c>
      <c r="S1017" s="101">
        <v>1.0</v>
      </c>
      <c r="T1017" s="102">
        <v>1.0</v>
      </c>
      <c r="Y1017" s="52" t="s">
        <v>84</v>
      </c>
      <c r="Z1017" s="52">
        <v>3.0</v>
      </c>
      <c r="AC1017" s="52" t="s">
        <v>41</v>
      </c>
      <c r="AD1017" s="52">
        <v>1.0</v>
      </c>
    </row>
    <row r="1018" ht="14.25" customHeight="1">
      <c r="A1018" s="77" t="s">
        <v>339</v>
      </c>
      <c r="B1018" s="78">
        <v>2.0</v>
      </c>
      <c r="C1018" s="82">
        <v>1.0</v>
      </c>
      <c r="D1018" s="103" t="s">
        <v>263</v>
      </c>
      <c r="E1018" s="104"/>
      <c r="F1018" s="105">
        <v>2.0</v>
      </c>
      <c r="H1018" s="77" t="s">
        <v>5</v>
      </c>
      <c r="I1018" s="78">
        <v>2.0</v>
      </c>
      <c r="J1018" s="190"/>
      <c r="K1018" s="103" t="s">
        <v>278</v>
      </c>
      <c r="L1018" s="104">
        <v>1.0</v>
      </c>
      <c r="M1018" s="105"/>
      <c r="O1018" s="77" t="s">
        <v>57</v>
      </c>
      <c r="P1018" s="78">
        <v>3.0</v>
      </c>
      <c r="Q1018" s="190">
        <v>1.0</v>
      </c>
      <c r="R1018" s="103" t="s">
        <v>14</v>
      </c>
      <c r="S1018" s="104">
        <v>1.0</v>
      </c>
      <c r="T1018" s="105">
        <v>3.0</v>
      </c>
      <c r="Y1018" s="52" t="s">
        <v>8</v>
      </c>
      <c r="Z1018" s="52">
        <v>3.0</v>
      </c>
      <c r="AC1018" s="52" t="s">
        <v>283</v>
      </c>
      <c r="AD1018" s="52">
        <v>1.0</v>
      </c>
    </row>
    <row r="1019" ht="14.25" customHeight="1">
      <c r="H1019" s="77" t="s">
        <v>281</v>
      </c>
      <c r="I1019" s="78">
        <v>1.0</v>
      </c>
      <c r="Y1019" s="52" t="s">
        <v>340</v>
      </c>
      <c r="Z1019" s="52">
        <v>2.0</v>
      </c>
      <c r="AD1019" s="48"/>
    </row>
    <row r="1020" ht="14.25" customHeight="1">
      <c r="Z1020" s="48"/>
      <c r="AD1020" s="48"/>
      <c r="AG1020" s="48"/>
    </row>
    <row r="1021" ht="14.25" customHeight="1">
      <c r="R1021" s="56">
        <f>A1012+D1012+H1012+K1012+O1012+R1012</f>
        <v>37</v>
      </c>
      <c r="S1021" s="3"/>
    </row>
    <row r="1022" ht="14.25" customHeight="1"/>
    <row r="1023" ht="14.25" customHeight="1"/>
    <row r="1024" ht="14.25" customHeight="1">
      <c r="L1024" s="4" t="s">
        <v>341</v>
      </c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3"/>
    </row>
    <row r="1025" ht="16.5" customHeight="1"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</row>
    <row r="1026" ht="14.25" customHeight="1"/>
    <row r="1027" ht="14.25" customHeight="1">
      <c r="P1027" s="8">
        <v>45536.0</v>
      </c>
      <c r="Q1027" s="2"/>
      <c r="R1027" s="2"/>
      <c r="S1027" s="3"/>
    </row>
    <row r="1028" ht="14.25" customHeight="1"/>
    <row r="1029" ht="14.25" customHeight="1">
      <c r="A1029" s="9">
        <v>1.0</v>
      </c>
      <c r="B1029" s="10">
        <v>45538.0</v>
      </c>
      <c r="C1029" s="2"/>
      <c r="D1029" s="2"/>
      <c r="E1029" s="2"/>
      <c r="F1029" s="3"/>
      <c r="H1029" s="9">
        <v>2.0</v>
      </c>
      <c r="I1029" s="10">
        <v>45545.0</v>
      </c>
      <c r="J1029" s="2"/>
      <c r="K1029" s="2"/>
      <c r="L1029" s="2"/>
      <c r="M1029" s="3"/>
      <c r="O1029" s="9">
        <v>3.0</v>
      </c>
      <c r="P1029" s="10">
        <v>45552.0</v>
      </c>
      <c r="Q1029" s="2"/>
      <c r="R1029" s="2"/>
      <c r="S1029" s="2"/>
      <c r="T1029" s="3"/>
      <c r="V1029" s="9">
        <v>4.0</v>
      </c>
      <c r="W1029" s="10">
        <v>45559.0</v>
      </c>
      <c r="X1029" s="2"/>
      <c r="Y1029" s="2"/>
      <c r="Z1029" s="2"/>
      <c r="AA1029" s="3"/>
      <c r="AC1029" s="51" t="s">
        <v>342</v>
      </c>
      <c r="AD1029" s="2"/>
      <c r="AE1029" s="2"/>
      <c r="AF1029" s="2"/>
      <c r="AG1029" s="3"/>
    </row>
    <row r="1030" ht="14.25" customHeight="1">
      <c r="A1030" s="14">
        <v>2.0</v>
      </c>
      <c r="B1030" s="2"/>
      <c r="C1030" s="3"/>
      <c r="D1030" s="39">
        <v>5.0</v>
      </c>
      <c r="E1030" s="2"/>
      <c r="F1030" s="3"/>
      <c r="H1030" s="14">
        <v>3.0</v>
      </c>
      <c r="I1030" s="2"/>
      <c r="J1030" s="3"/>
      <c r="K1030" s="39">
        <v>5.0</v>
      </c>
      <c r="L1030" s="2"/>
      <c r="M1030" s="3"/>
      <c r="O1030" s="14">
        <v>10.0</v>
      </c>
      <c r="P1030" s="2"/>
      <c r="Q1030" s="3"/>
      <c r="R1030" s="39">
        <v>8.0</v>
      </c>
      <c r="S1030" s="2"/>
      <c r="T1030" s="3"/>
      <c r="V1030" s="14">
        <v>5.0</v>
      </c>
      <c r="W1030" s="2"/>
      <c r="X1030" s="3"/>
      <c r="Y1030" s="39">
        <v>5.0</v>
      </c>
      <c r="Z1030" s="2"/>
      <c r="AA1030" s="3"/>
    </row>
    <row r="1031" ht="12.0" customHeight="1">
      <c r="A1031" s="60"/>
      <c r="B1031" s="61" t="s">
        <v>69</v>
      </c>
      <c r="C1031" s="62" t="s">
        <v>70</v>
      </c>
      <c r="D1031" s="94"/>
      <c r="E1031" s="95" t="s">
        <v>69</v>
      </c>
      <c r="F1031" s="96" t="s">
        <v>70</v>
      </c>
      <c r="H1031" s="66"/>
      <c r="I1031" s="61" t="s">
        <v>69</v>
      </c>
      <c r="J1031" s="61" t="s">
        <v>70</v>
      </c>
      <c r="K1031" s="94"/>
      <c r="L1031" s="95" t="s">
        <v>69</v>
      </c>
      <c r="M1031" s="96" t="s">
        <v>70</v>
      </c>
      <c r="O1031" s="66"/>
      <c r="P1031" s="61" t="s">
        <v>69</v>
      </c>
      <c r="Q1031" s="62" t="s">
        <v>70</v>
      </c>
      <c r="R1031" s="94"/>
      <c r="S1031" s="95" t="s">
        <v>69</v>
      </c>
      <c r="T1031" s="96" t="s">
        <v>70</v>
      </c>
      <c r="V1031" s="66"/>
      <c r="W1031" s="61" t="s">
        <v>69</v>
      </c>
      <c r="X1031" s="62" t="s">
        <v>70</v>
      </c>
      <c r="Y1031" s="94"/>
      <c r="Z1031" s="95" t="s">
        <v>69</v>
      </c>
      <c r="AA1031" s="96" t="s">
        <v>70</v>
      </c>
      <c r="AC1031" s="52" t="s">
        <v>289</v>
      </c>
      <c r="AD1031" s="52">
        <v>7.0</v>
      </c>
      <c r="AF1031" s="52" t="s">
        <v>41</v>
      </c>
      <c r="AG1031" s="52">
        <v>2.0</v>
      </c>
    </row>
    <row r="1032" ht="14.25" customHeight="1">
      <c r="A1032" s="67" t="s">
        <v>17</v>
      </c>
      <c r="B1032" s="68"/>
      <c r="C1032" s="69"/>
      <c r="D1032" s="97" t="s">
        <v>10</v>
      </c>
      <c r="E1032" s="98"/>
      <c r="F1032" s="99">
        <v>2.0</v>
      </c>
      <c r="H1032" s="67" t="s">
        <v>10</v>
      </c>
      <c r="I1032" s="68">
        <v>1.0</v>
      </c>
      <c r="J1032" s="191"/>
      <c r="K1032" s="97" t="s">
        <v>18</v>
      </c>
      <c r="L1032" s="98"/>
      <c r="M1032" s="99">
        <v>2.0</v>
      </c>
      <c r="O1032" s="67" t="s">
        <v>18</v>
      </c>
      <c r="P1032" s="68"/>
      <c r="Q1032" s="69">
        <v>1.0</v>
      </c>
      <c r="R1032" s="97" t="s">
        <v>10</v>
      </c>
      <c r="S1032" s="98">
        <v>2.0</v>
      </c>
      <c r="T1032" s="99">
        <v>1.0</v>
      </c>
      <c r="V1032" s="67" t="s">
        <v>10</v>
      </c>
      <c r="W1032" s="68">
        <v>1.0</v>
      </c>
      <c r="X1032" s="69"/>
      <c r="Y1032" s="97" t="s">
        <v>166</v>
      </c>
      <c r="Z1032" s="98">
        <v>1.0</v>
      </c>
      <c r="AA1032" s="99">
        <v>3.0</v>
      </c>
      <c r="AC1032" s="52" t="s">
        <v>8</v>
      </c>
      <c r="AD1032" s="52">
        <v>4.0</v>
      </c>
      <c r="AF1032" s="52" t="s">
        <v>174</v>
      </c>
      <c r="AG1032" s="52">
        <v>1.0</v>
      </c>
    </row>
    <row r="1033" ht="14.25" customHeight="1">
      <c r="A1033" s="72" t="s">
        <v>18</v>
      </c>
      <c r="B1033" s="73"/>
      <c r="C1033" s="69"/>
      <c r="D1033" s="100" t="s">
        <v>7</v>
      </c>
      <c r="E1033" s="101"/>
      <c r="F1033" s="102">
        <v>2.0</v>
      </c>
      <c r="H1033" s="72" t="s">
        <v>6</v>
      </c>
      <c r="I1033" s="73">
        <v>1.0</v>
      </c>
      <c r="J1033" s="191"/>
      <c r="K1033" s="100" t="s">
        <v>11</v>
      </c>
      <c r="L1033" s="101">
        <v>1.0</v>
      </c>
      <c r="M1033" s="102">
        <v>1.0</v>
      </c>
      <c r="O1033" s="72" t="s">
        <v>210</v>
      </c>
      <c r="P1033" s="73">
        <v>6.0</v>
      </c>
      <c r="Q1033" s="69"/>
      <c r="R1033" s="100" t="s">
        <v>278</v>
      </c>
      <c r="S1033" s="101"/>
      <c r="T1033" s="102">
        <v>2.0</v>
      </c>
      <c r="V1033" s="72" t="s">
        <v>7</v>
      </c>
      <c r="W1033" s="73"/>
      <c r="X1033" s="69">
        <v>1.0</v>
      </c>
      <c r="Y1033" s="100" t="s">
        <v>18</v>
      </c>
      <c r="Z1033" s="101"/>
      <c r="AA1033" s="102"/>
      <c r="AC1033" s="52" t="s">
        <v>267</v>
      </c>
      <c r="AD1033" s="52">
        <v>4.0</v>
      </c>
      <c r="AF1033" s="52" t="s">
        <v>257</v>
      </c>
      <c r="AG1033" s="52">
        <v>1.0</v>
      </c>
    </row>
    <row r="1034" ht="14.25" customHeight="1">
      <c r="A1034" s="72" t="s">
        <v>39</v>
      </c>
      <c r="B1034" s="73">
        <v>1.0</v>
      </c>
      <c r="C1034" s="69"/>
      <c r="D1034" s="100" t="s">
        <v>4</v>
      </c>
      <c r="E1034" s="101"/>
      <c r="F1034" s="102"/>
      <c r="H1034" s="72" t="s">
        <v>210</v>
      </c>
      <c r="I1034" s="73">
        <v>1.0</v>
      </c>
      <c r="J1034" s="191"/>
      <c r="K1034" s="100" t="s">
        <v>166</v>
      </c>
      <c r="L1034" s="101">
        <v>1.0</v>
      </c>
      <c r="M1034" s="102"/>
      <c r="O1034" s="72" t="s">
        <v>263</v>
      </c>
      <c r="P1034" s="73">
        <v>1.0</v>
      </c>
      <c r="Q1034" s="69"/>
      <c r="R1034" s="100" t="s">
        <v>7</v>
      </c>
      <c r="S1034" s="101">
        <v>2.0</v>
      </c>
      <c r="T1034" s="102"/>
      <c r="V1034" s="72" t="s">
        <v>278</v>
      </c>
      <c r="W1034" s="73"/>
      <c r="X1034" s="69">
        <v>2.0</v>
      </c>
      <c r="Y1034" s="100" t="s">
        <v>296</v>
      </c>
      <c r="Z1034" s="101">
        <v>2.0</v>
      </c>
      <c r="AA1034" s="102">
        <v>1.0</v>
      </c>
      <c r="AC1034" s="52" t="s">
        <v>203</v>
      </c>
      <c r="AD1034" s="52">
        <v>4.0</v>
      </c>
    </row>
    <row r="1035" ht="14.25" customHeight="1">
      <c r="A1035" s="72" t="s">
        <v>296</v>
      </c>
      <c r="B1035" s="73"/>
      <c r="C1035" s="69"/>
      <c r="D1035" s="100" t="s">
        <v>5</v>
      </c>
      <c r="E1035" s="101">
        <v>4.0</v>
      </c>
      <c r="F1035" s="102"/>
      <c r="H1035" s="72" t="s">
        <v>20</v>
      </c>
      <c r="I1035" s="73"/>
      <c r="J1035" s="191">
        <v>1.0</v>
      </c>
      <c r="K1035" s="100" t="s">
        <v>153</v>
      </c>
      <c r="L1035" s="101">
        <v>2.0</v>
      </c>
      <c r="M1035" s="102"/>
      <c r="O1035" s="72" t="s">
        <v>4</v>
      </c>
      <c r="P1035" s="73">
        <v>2.0</v>
      </c>
      <c r="Q1035" s="69">
        <v>2.0</v>
      </c>
      <c r="R1035" s="100" t="s">
        <v>11</v>
      </c>
      <c r="S1035" s="101">
        <v>1.0</v>
      </c>
      <c r="T1035" s="102"/>
      <c r="V1035" s="72" t="s">
        <v>4</v>
      </c>
      <c r="W1035" s="73">
        <v>2.0</v>
      </c>
      <c r="X1035" s="69"/>
      <c r="Y1035" s="100" t="s">
        <v>263</v>
      </c>
      <c r="Z1035" s="101">
        <v>2.0</v>
      </c>
      <c r="AA1035" s="102"/>
      <c r="AC1035" s="52" t="s">
        <v>49</v>
      </c>
      <c r="AD1035" s="52">
        <v>4.0</v>
      </c>
    </row>
    <row r="1036" ht="14.25" customHeight="1">
      <c r="A1036" s="77" t="s">
        <v>166</v>
      </c>
      <c r="B1036" s="78">
        <v>1.0</v>
      </c>
      <c r="C1036" s="82"/>
      <c r="D1036" s="103" t="s">
        <v>263</v>
      </c>
      <c r="E1036" s="104">
        <v>1.0</v>
      </c>
      <c r="F1036" s="105"/>
      <c r="H1036" s="77" t="s">
        <v>7</v>
      </c>
      <c r="I1036" s="78"/>
      <c r="J1036" s="190"/>
      <c r="K1036" s="103" t="s">
        <v>263</v>
      </c>
      <c r="L1036" s="104"/>
      <c r="M1036" s="105">
        <v>1.0</v>
      </c>
      <c r="O1036" s="77" t="s">
        <v>166</v>
      </c>
      <c r="P1036" s="78">
        <v>1.0</v>
      </c>
      <c r="Q1036" s="190">
        <v>1.0</v>
      </c>
      <c r="R1036" s="103" t="s">
        <v>20</v>
      </c>
      <c r="S1036" s="104">
        <v>2.0</v>
      </c>
      <c r="T1036" s="105">
        <v>2.0</v>
      </c>
      <c r="V1036" s="77" t="s">
        <v>20</v>
      </c>
      <c r="W1036" s="78">
        <v>1.0</v>
      </c>
      <c r="X1036" s="82">
        <v>1.0</v>
      </c>
      <c r="Y1036" s="103" t="s">
        <v>14</v>
      </c>
      <c r="Z1036" s="104"/>
      <c r="AA1036" s="105">
        <v>1.0</v>
      </c>
      <c r="AC1036" s="52" t="s">
        <v>82</v>
      </c>
      <c r="AD1036" s="52">
        <v>4.0</v>
      </c>
      <c r="AF1036" s="52" t="s">
        <v>144</v>
      </c>
      <c r="AG1036" s="52">
        <v>1.0</v>
      </c>
    </row>
    <row r="1037" ht="14.25" customHeight="1">
      <c r="K1037" s="103" t="s">
        <v>144</v>
      </c>
      <c r="L1037" s="104">
        <v>1.0</v>
      </c>
      <c r="R1037" s="103" t="s">
        <v>292</v>
      </c>
      <c r="S1037" s="104">
        <v>1.0</v>
      </c>
      <c r="V1037" s="77" t="s">
        <v>261</v>
      </c>
      <c r="W1037" s="78">
        <v>1.0</v>
      </c>
      <c r="Y1037" s="59"/>
      <c r="Z1037" s="59"/>
      <c r="AC1037" s="52" t="s">
        <v>38</v>
      </c>
      <c r="AD1037" s="52">
        <v>3.0</v>
      </c>
      <c r="AF1037" s="52" t="s">
        <v>292</v>
      </c>
      <c r="AG1037" s="52">
        <v>1.0</v>
      </c>
    </row>
    <row r="1038" ht="14.25" customHeight="1">
      <c r="Y1038" s="90"/>
      <c r="Z1038" s="90"/>
      <c r="AC1038" s="52" t="s">
        <v>29</v>
      </c>
      <c r="AD1038" s="52">
        <v>2.0</v>
      </c>
      <c r="AF1038" s="52" t="s">
        <v>261</v>
      </c>
      <c r="AG1038" s="52">
        <v>1.0</v>
      </c>
    </row>
    <row r="1039" ht="14.25" customHeight="1">
      <c r="Y1039" s="56">
        <f>A1030+D1030+H1030+K1030+O1030+R1030+V1030+Y1030</f>
        <v>43</v>
      </c>
      <c r="Z1039" s="3"/>
      <c r="AC1039" s="52" t="s">
        <v>232</v>
      </c>
      <c r="AD1039" s="52">
        <v>2.0</v>
      </c>
      <c r="AG1039" s="48"/>
    </row>
    <row r="1040" ht="14.25" customHeight="1">
      <c r="AC1040" s="52" t="s">
        <v>297</v>
      </c>
      <c r="AD1040" s="52">
        <v>2.0</v>
      </c>
    </row>
    <row r="1041" ht="14.25" customHeight="1">
      <c r="AD1041" s="48"/>
    </row>
    <row r="1042" ht="14.25" customHeight="1">
      <c r="P1042" s="8">
        <v>45566.0</v>
      </c>
      <c r="Q1042" s="2"/>
      <c r="R1042" s="2"/>
      <c r="S1042" s="3"/>
    </row>
    <row r="1043" ht="14.25" customHeight="1">
      <c r="Y1043" s="131" t="s">
        <v>343</v>
      </c>
      <c r="AF1043" s="131" t="s">
        <v>343</v>
      </c>
    </row>
    <row r="1044" ht="14.25" customHeight="1">
      <c r="A1044" s="9">
        <v>5.0</v>
      </c>
      <c r="B1044" s="10">
        <v>45566.0</v>
      </c>
      <c r="C1044" s="2"/>
      <c r="D1044" s="2"/>
      <c r="E1044" s="2"/>
      <c r="F1044" s="3"/>
      <c r="H1044" s="9">
        <v>6.0</v>
      </c>
      <c r="I1044" s="10">
        <v>45573.0</v>
      </c>
      <c r="J1044" s="2"/>
      <c r="K1044" s="2"/>
      <c r="L1044" s="2"/>
      <c r="M1044" s="3"/>
      <c r="O1044" s="9">
        <v>7.0</v>
      </c>
      <c r="P1044" s="10">
        <v>45580.0</v>
      </c>
      <c r="Q1044" s="2"/>
      <c r="R1044" s="2"/>
      <c r="S1044" s="2"/>
      <c r="T1044" s="3"/>
      <c r="V1044" s="9">
        <v>8.0</v>
      </c>
      <c r="W1044" s="10">
        <v>45589.0</v>
      </c>
      <c r="X1044" s="2"/>
      <c r="Y1044" s="2"/>
      <c r="Z1044" s="2"/>
      <c r="AA1044" s="3"/>
      <c r="AC1044" s="9">
        <v>9.0</v>
      </c>
      <c r="AD1044" s="10">
        <v>45596.0</v>
      </c>
      <c r="AE1044" s="2"/>
      <c r="AF1044" s="2"/>
      <c r="AG1044" s="2"/>
      <c r="AH1044" s="3"/>
    </row>
    <row r="1045" ht="14.25" customHeight="1">
      <c r="A1045" s="14">
        <v>4.0</v>
      </c>
      <c r="B1045" s="2"/>
      <c r="C1045" s="3"/>
      <c r="D1045" s="39">
        <v>5.0</v>
      </c>
      <c r="E1045" s="2"/>
      <c r="F1045" s="3"/>
      <c r="H1045" s="14">
        <v>4.0</v>
      </c>
      <c r="I1045" s="2"/>
      <c r="J1045" s="3"/>
      <c r="K1045" s="39">
        <v>5.0</v>
      </c>
      <c r="L1045" s="2"/>
      <c r="M1045" s="3"/>
      <c r="O1045" s="14">
        <v>9.0</v>
      </c>
      <c r="P1045" s="2"/>
      <c r="Q1045" s="3"/>
      <c r="R1045" s="39">
        <v>6.0</v>
      </c>
      <c r="S1045" s="2"/>
      <c r="T1045" s="3"/>
      <c r="V1045" s="14">
        <v>2.0</v>
      </c>
      <c r="W1045" s="2"/>
      <c r="X1045" s="3"/>
      <c r="Y1045" s="39">
        <v>4.0</v>
      </c>
      <c r="Z1045" s="2"/>
      <c r="AA1045" s="3"/>
      <c r="AC1045" s="14">
        <v>7.0</v>
      </c>
      <c r="AD1045" s="2"/>
      <c r="AE1045" s="3"/>
      <c r="AF1045" s="39">
        <v>5.0</v>
      </c>
      <c r="AG1045" s="2"/>
      <c r="AH1045" s="3"/>
    </row>
    <row r="1046" ht="12.0" customHeight="1">
      <c r="A1046" s="66"/>
      <c r="B1046" s="61" t="s">
        <v>69</v>
      </c>
      <c r="C1046" s="62" t="s">
        <v>70</v>
      </c>
      <c r="D1046" s="94"/>
      <c r="E1046" s="95" t="s">
        <v>69</v>
      </c>
      <c r="F1046" s="96" t="s">
        <v>70</v>
      </c>
      <c r="H1046" s="66"/>
      <c r="I1046" s="61" t="s">
        <v>69</v>
      </c>
      <c r="J1046" s="62" t="s">
        <v>70</v>
      </c>
      <c r="K1046" s="94"/>
      <c r="L1046" s="95" t="s">
        <v>69</v>
      </c>
      <c r="M1046" s="96" t="s">
        <v>70</v>
      </c>
      <c r="O1046" s="66"/>
      <c r="P1046" s="61" t="s">
        <v>69</v>
      </c>
      <c r="Q1046" s="62" t="s">
        <v>70</v>
      </c>
      <c r="R1046" s="94"/>
      <c r="S1046" s="95" t="s">
        <v>69</v>
      </c>
      <c r="T1046" s="96" t="s">
        <v>70</v>
      </c>
      <c r="V1046" s="66"/>
      <c r="W1046" s="61" t="s">
        <v>69</v>
      </c>
      <c r="X1046" s="62" t="s">
        <v>70</v>
      </c>
      <c r="Y1046" s="94"/>
      <c r="Z1046" s="95" t="s">
        <v>69</v>
      </c>
      <c r="AA1046" s="96" t="s">
        <v>70</v>
      </c>
      <c r="AC1046" s="66"/>
      <c r="AD1046" s="61" t="s">
        <v>69</v>
      </c>
      <c r="AE1046" s="62" t="s">
        <v>70</v>
      </c>
      <c r="AF1046" s="94"/>
      <c r="AG1046" s="95" t="s">
        <v>69</v>
      </c>
      <c r="AH1046" s="96" t="s">
        <v>70</v>
      </c>
    </row>
    <row r="1047" ht="14.25" customHeight="1">
      <c r="A1047" s="67" t="s">
        <v>7</v>
      </c>
      <c r="B1047" s="68"/>
      <c r="C1047" s="69"/>
      <c r="D1047" s="97" t="s">
        <v>14</v>
      </c>
      <c r="E1047" s="98"/>
      <c r="F1047" s="99">
        <v>3.0</v>
      </c>
      <c r="H1047" s="67" t="s">
        <v>10</v>
      </c>
      <c r="I1047" s="68">
        <v>2.0</v>
      </c>
      <c r="J1047" s="69">
        <v>1.0</v>
      </c>
      <c r="K1047" s="97" t="s">
        <v>17</v>
      </c>
      <c r="L1047" s="98">
        <v>1.0</v>
      </c>
      <c r="M1047" s="99"/>
      <c r="O1047" s="67" t="s">
        <v>18</v>
      </c>
      <c r="P1047" s="68"/>
      <c r="Q1047" s="69"/>
      <c r="R1047" s="97" t="s">
        <v>10</v>
      </c>
      <c r="S1047" s="98">
        <v>1.0</v>
      </c>
      <c r="T1047" s="99">
        <v>1.0</v>
      </c>
      <c r="V1047" s="67" t="s">
        <v>14</v>
      </c>
      <c r="W1047" s="68">
        <v>1.0</v>
      </c>
      <c r="X1047" s="69"/>
      <c r="Y1047" s="97" t="s">
        <v>7</v>
      </c>
      <c r="Z1047" s="98">
        <v>2.0</v>
      </c>
      <c r="AA1047" s="99"/>
      <c r="AC1047" s="67" t="s">
        <v>18</v>
      </c>
      <c r="AD1047" s="68">
        <v>2.0</v>
      </c>
      <c r="AE1047" s="69"/>
      <c r="AF1047" s="97" t="s">
        <v>137</v>
      </c>
      <c r="AG1047" s="98"/>
      <c r="AH1047" s="99"/>
    </row>
    <row r="1048" ht="14.25" customHeight="1">
      <c r="A1048" s="72" t="s">
        <v>17</v>
      </c>
      <c r="B1048" s="73">
        <v>1.0</v>
      </c>
      <c r="C1048" s="69"/>
      <c r="D1048" s="100" t="s">
        <v>18</v>
      </c>
      <c r="E1048" s="101"/>
      <c r="F1048" s="102"/>
      <c r="H1048" s="72" t="s">
        <v>20</v>
      </c>
      <c r="I1048" s="73"/>
      <c r="J1048" s="69">
        <v>1.0</v>
      </c>
      <c r="K1048" s="100" t="s">
        <v>9</v>
      </c>
      <c r="L1048" s="101">
        <v>1.0</v>
      </c>
      <c r="M1048" s="102"/>
      <c r="O1048" s="72" t="s">
        <v>278</v>
      </c>
      <c r="P1048" s="73">
        <v>5.0</v>
      </c>
      <c r="Q1048" s="69">
        <v>1.0</v>
      </c>
      <c r="R1048" s="100" t="s">
        <v>6</v>
      </c>
      <c r="S1048" s="101"/>
      <c r="T1048" s="102"/>
      <c r="V1048" s="72" t="s">
        <v>6</v>
      </c>
      <c r="W1048" s="73"/>
      <c r="X1048" s="69"/>
      <c r="Y1048" s="100" t="s">
        <v>263</v>
      </c>
      <c r="Z1048" s="101"/>
      <c r="AA1048" s="102">
        <v>1.0</v>
      </c>
      <c r="AC1048" s="72" t="s">
        <v>5</v>
      </c>
      <c r="AD1048" s="73"/>
      <c r="AE1048" s="69">
        <v>2.0</v>
      </c>
      <c r="AF1048" s="100" t="s">
        <v>10</v>
      </c>
      <c r="AG1048" s="101"/>
      <c r="AH1048" s="102">
        <v>1.0</v>
      </c>
    </row>
    <row r="1049" ht="14.25" customHeight="1">
      <c r="A1049" s="72" t="s">
        <v>210</v>
      </c>
      <c r="B1049" s="73">
        <v>2.0</v>
      </c>
      <c r="C1049" s="69"/>
      <c r="D1049" s="100" t="s">
        <v>278</v>
      </c>
      <c r="E1049" s="101">
        <v>3.0</v>
      </c>
      <c r="F1049" s="102"/>
      <c r="H1049" s="72" t="s">
        <v>7</v>
      </c>
      <c r="I1049" s="73"/>
      <c r="J1049" s="69"/>
      <c r="K1049" s="100" t="s">
        <v>18</v>
      </c>
      <c r="L1049" s="101"/>
      <c r="M1049" s="102"/>
      <c r="O1049" s="72" t="s">
        <v>9</v>
      </c>
      <c r="P1049" s="73">
        <v>1.0</v>
      </c>
      <c r="Q1049" s="69">
        <v>1.0</v>
      </c>
      <c r="R1049" s="100" t="s">
        <v>4</v>
      </c>
      <c r="S1049" s="101">
        <v>3.0</v>
      </c>
      <c r="T1049" s="102">
        <v>1.0</v>
      </c>
      <c r="V1049" s="72" t="s">
        <v>10</v>
      </c>
      <c r="W1049" s="73"/>
      <c r="X1049" s="69"/>
      <c r="Y1049" s="100" t="s">
        <v>18</v>
      </c>
      <c r="Z1049" s="101">
        <v>1.0</v>
      </c>
      <c r="AA1049" s="102"/>
      <c r="AC1049" s="72" t="s">
        <v>278</v>
      </c>
      <c r="AD1049" s="73">
        <v>2.0</v>
      </c>
      <c r="AE1049" s="69">
        <v>1.0</v>
      </c>
      <c r="AF1049" s="100" t="s">
        <v>7</v>
      </c>
      <c r="AG1049" s="101">
        <v>1.0</v>
      </c>
      <c r="AH1049" s="102">
        <v>1.0</v>
      </c>
    </row>
    <row r="1050" ht="14.25" customHeight="1">
      <c r="A1050" s="72" t="s">
        <v>10</v>
      </c>
      <c r="B1050" s="73"/>
      <c r="C1050" s="69">
        <v>1.0</v>
      </c>
      <c r="D1050" s="100" t="s">
        <v>344</v>
      </c>
      <c r="E1050" s="101">
        <v>1.0</v>
      </c>
      <c r="F1050" s="102">
        <v>1.0</v>
      </c>
      <c r="H1050" s="72" t="s">
        <v>263</v>
      </c>
      <c r="I1050" s="73">
        <v>2.0</v>
      </c>
      <c r="J1050" s="69">
        <v>1.0</v>
      </c>
      <c r="K1050" s="100" t="s">
        <v>278</v>
      </c>
      <c r="L1050" s="101">
        <v>1.0</v>
      </c>
      <c r="M1050" s="102">
        <v>1.0</v>
      </c>
      <c r="O1050" s="72" t="s">
        <v>263</v>
      </c>
      <c r="P1050" s="73">
        <v>2.0</v>
      </c>
      <c r="Q1050" s="69"/>
      <c r="R1050" s="100" t="s">
        <v>5</v>
      </c>
      <c r="S1050" s="101"/>
      <c r="T1050" s="102">
        <v>4.0</v>
      </c>
      <c r="V1050" s="72" t="s">
        <v>4</v>
      </c>
      <c r="W1050" s="73"/>
      <c r="X1050" s="69">
        <v>1.0</v>
      </c>
      <c r="Y1050" s="100" t="s">
        <v>5</v>
      </c>
      <c r="Z1050" s="101">
        <v>1.0</v>
      </c>
      <c r="AA1050" s="102">
        <v>1.0</v>
      </c>
      <c r="AC1050" s="72" t="s">
        <v>296</v>
      </c>
      <c r="AD1050" s="73"/>
      <c r="AE1050" s="69">
        <v>1.0</v>
      </c>
      <c r="AF1050" s="100" t="s">
        <v>166</v>
      </c>
      <c r="AG1050" s="101">
        <v>2.0</v>
      </c>
      <c r="AH1050" s="102"/>
    </row>
    <row r="1051" ht="14.25" customHeight="1">
      <c r="A1051" s="77" t="s">
        <v>296</v>
      </c>
      <c r="B1051" s="78"/>
      <c r="C1051" s="82">
        <v>1.0</v>
      </c>
      <c r="D1051" s="103" t="s">
        <v>263</v>
      </c>
      <c r="E1051" s="104">
        <v>1.0</v>
      </c>
      <c r="F1051" s="105"/>
      <c r="H1051" s="77" t="s">
        <v>5</v>
      </c>
      <c r="I1051" s="78"/>
      <c r="J1051" s="82">
        <v>1.0</v>
      </c>
      <c r="K1051" s="103" t="s">
        <v>4</v>
      </c>
      <c r="L1051" s="104">
        <v>2.0</v>
      </c>
      <c r="M1051" s="105">
        <v>1.0</v>
      </c>
      <c r="O1051" s="77" t="s">
        <v>210</v>
      </c>
      <c r="P1051" s="78">
        <v>1.0</v>
      </c>
      <c r="Q1051" s="82">
        <v>1.0</v>
      </c>
      <c r="R1051" s="103" t="s">
        <v>17</v>
      </c>
      <c r="S1051" s="104">
        <v>2.0</v>
      </c>
      <c r="T1051" s="105"/>
      <c r="V1051" s="77" t="s">
        <v>20</v>
      </c>
      <c r="W1051" s="78">
        <v>1.0</v>
      </c>
      <c r="X1051" s="82">
        <v>1.0</v>
      </c>
      <c r="Y1051" s="103" t="s">
        <v>153</v>
      </c>
      <c r="Z1051" s="104"/>
      <c r="AA1051" s="105">
        <v>1.0</v>
      </c>
      <c r="AC1051" s="77" t="s">
        <v>4</v>
      </c>
      <c r="AD1051" s="78">
        <v>3.0</v>
      </c>
      <c r="AE1051" s="82">
        <v>1.0</v>
      </c>
      <c r="AF1051" s="100" t="s">
        <v>17</v>
      </c>
      <c r="AG1051" s="101">
        <v>1.0</v>
      </c>
      <c r="AH1051" s="102"/>
    </row>
    <row r="1052" ht="14.25" customHeight="1">
      <c r="A1052" s="77" t="s">
        <v>292</v>
      </c>
      <c r="B1052" s="78">
        <v>1.0</v>
      </c>
      <c r="AF1052" s="103" t="s">
        <v>345</v>
      </c>
      <c r="AG1052" s="104">
        <v>1.0</v>
      </c>
      <c r="AH1052" s="105"/>
    </row>
    <row r="1053" ht="14.25" customHeight="1">
      <c r="AC1053" s="224" t="s">
        <v>346</v>
      </c>
    </row>
    <row r="1054" ht="14.25" customHeight="1">
      <c r="V1054" s="90"/>
      <c r="W1054" s="90"/>
      <c r="X1054" s="90"/>
      <c r="Y1054" s="90"/>
      <c r="Z1054" s="90"/>
      <c r="AC1054" s="224" t="s">
        <v>347</v>
      </c>
    </row>
    <row r="1055" ht="14.25" customHeight="1">
      <c r="A1055" s="146"/>
      <c r="B1055" s="146"/>
      <c r="C1055" s="146"/>
      <c r="D1055" s="51" t="s">
        <v>348</v>
      </c>
      <c r="E1055" s="2"/>
      <c r="F1055" s="2"/>
      <c r="G1055" s="2"/>
      <c r="H1055" s="3"/>
      <c r="O1055" s="135"/>
      <c r="V1055" s="55" t="s">
        <v>3</v>
      </c>
      <c r="W1055" s="2"/>
      <c r="X1055" s="3"/>
      <c r="Y1055" s="56">
        <f>A1045+D1045+H1045+K1045+O1045+R1045+V1045+Y1045+AC1045+AF1045</f>
        <v>51</v>
      </c>
      <c r="Z1055" s="3"/>
    </row>
    <row r="1056" ht="14.25" customHeight="1"/>
    <row r="1057" ht="14.25" customHeight="1">
      <c r="D1057" s="52" t="s">
        <v>277</v>
      </c>
      <c r="E1057" s="52">
        <v>11.0</v>
      </c>
      <c r="H1057" s="52" t="s">
        <v>134</v>
      </c>
      <c r="I1057" s="52">
        <v>2.0</v>
      </c>
    </row>
    <row r="1058" ht="14.25" customHeight="1">
      <c r="D1058" s="52" t="s">
        <v>49</v>
      </c>
      <c r="E1058" s="52">
        <v>8.0</v>
      </c>
      <c r="H1058" s="52" t="s">
        <v>8</v>
      </c>
      <c r="I1058" s="52">
        <v>2.0</v>
      </c>
    </row>
    <row r="1059" ht="14.25" customHeight="1">
      <c r="D1059" s="52" t="s">
        <v>267</v>
      </c>
      <c r="E1059" s="52">
        <v>5.0</v>
      </c>
      <c r="H1059" s="52" t="s">
        <v>203</v>
      </c>
      <c r="I1059" s="52">
        <v>2.0</v>
      </c>
    </row>
    <row r="1060" ht="14.25" customHeight="1">
      <c r="D1060" s="52" t="s">
        <v>61</v>
      </c>
      <c r="E1060" s="52">
        <v>5.0</v>
      </c>
      <c r="H1060" s="52" t="s">
        <v>38</v>
      </c>
      <c r="I1060" s="52">
        <v>1.0</v>
      </c>
    </row>
    <row r="1061" ht="14.25" customHeight="1">
      <c r="D1061" s="52" t="s">
        <v>82</v>
      </c>
      <c r="E1061" s="52">
        <v>3.0</v>
      </c>
      <c r="H1061" s="52" t="s">
        <v>36</v>
      </c>
      <c r="I1061" s="52">
        <v>1.0</v>
      </c>
    </row>
    <row r="1062" ht="14.25" customHeight="1">
      <c r="D1062" s="52" t="s">
        <v>289</v>
      </c>
      <c r="E1062" s="52">
        <v>3.0</v>
      </c>
      <c r="F1062" s="48"/>
      <c r="H1062" s="52" t="s">
        <v>349</v>
      </c>
      <c r="I1062" s="52">
        <v>1.0</v>
      </c>
    </row>
    <row r="1063" ht="14.25" customHeight="1">
      <c r="D1063" s="52" t="s">
        <v>29</v>
      </c>
      <c r="E1063" s="52">
        <v>3.0</v>
      </c>
    </row>
    <row r="1064" ht="14.25" customHeight="1">
      <c r="D1064" s="52" t="s">
        <v>91</v>
      </c>
      <c r="E1064" s="52">
        <v>3.0</v>
      </c>
      <c r="H1064" s="52" t="s">
        <v>292</v>
      </c>
      <c r="I1064" s="52">
        <v>1.0</v>
      </c>
    </row>
    <row r="1065" ht="14.25" customHeight="1">
      <c r="E1065" s="48"/>
      <c r="I1065" s="48"/>
    </row>
    <row r="1066" ht="14.25" customHeight="1"/>
    <row r="1067" ht="14.25" customHeight="1">
      <c r="P1067" s="8">
        <v>45597.0</v>
      </c>
      <c r="Q1067" s="2"/>
      <c r="R1067" s="2"/>
      <c r="S1067" s="3"/>
    </row>
    <row r="1068" ht="14.25" customHeight="1">
      <c r="D1068" s="225" t="s">
        <v>350</v>
      </c>
      <c r="Y1068" s="225" t="s">
        <v>351</v>
      </c>
    </row>
    <row r="1069" ht="14.25" customHeight="1">
      <c r="A1069" s="9">
        <v>10.0</v>
      </c>
      <c r="B1069" s="10">
        <v>45602.0</v>
      </c>
      <c r="C1069" s="2"/>
      <c r="D1069" s="2"/>
      <c r="E1069" s="2"/>
      <c r="F1069" s="3"/>
      <c r="H1069" s="9">
        <v>11.0</v>
      </c>
      <c r="I1069" s="10">
        <v>45608.0</v>
      </c>
      <c r="J1069" s="2"/>
      <c r="K1069" s="2"/>
      <c r="L1069" s="2"/>
      <c r="M1069" s="3"/>
      <c r="O1069" s="9">
        <v>12.0</v>
      </c>
      <c r="P1069" s="10">
        <v>45615.0</v>
      </c>
      <c r="Q1069" s="2"/>
      <c r="R1069" s="2"/>
      <c r="S1069" s="2"/>
      <c r="T1069" s="3"/>
      <c r="V1069" s="9">
        <v>13.0</v>
      </c>
      <c r="W1069" s="10">
        <v>45621.0</v>
      </c>
      <c r="X1069" s="2"/>
      <c r="Y1069" s="2"/>
      <c r="Z1069" s="2"/>
      <c r="AA1069" s="3"/>
      <c r="AC1069" s="51" t="s">
        <v>352</v>
      </c>
      <c r="AD1069" s="2"/>
      <c r="AE1069" s="2"/>
      <c r="AF1069" s="2"/>
      <c r="AG1069" s="3"/>
    </row>
    <row r="1070" ht="14.25" customHeight="1">
      <c r="A1070" s="14">
        <v>5.0</v>
      </c>
      <c r="B1070" s="2"/>
      <c r="C1070" s="3"/>
      <c r="D1070" s="39">
        <v>6.0</v>
      </c>
      <c r="E1070" s="2"/>
      <c r="F1070" s="3"/>
      <c r="H1070" s="14">
        <v>2.0</v>
      </c>
      <c r="I1070" s="2"/>
      <c r="J1070" s="3"/>
      <c r="K1070" s="39">
        <v>4.0</v>
      </c>
      <c r="L1070" s="2"/>
      <c r="M1070" s="3"/>
      <c r="O1070" s="14">
        <v>6.0</v>
      </c>
      <c r="P1070" s="2"/>
      <c r="Q1070" s="3"/>
      <c r="R1070" s="39">
        <v>7.0</v>
      </c>
      <c r="S1070" s="2"/>
      <c r="T1070" s="3"/>
      <c r="V1070" s="14">
        <v>5.0</v>
      </c>
      <c r="W1070" s="2"/>
      <c r="X1070" s="3"/>
      <c r="Y1070" s="39">
        <v>2.0</v>
      </c>
      <c r="Z1070" s="2"/>
      <c r="AA1070" s="3"/>
    </row>
    <row r="1071" ht="12.0" customHeight="1">
      <c r="A1071" s="60"/>
      <c r="B1071" s="61" t="s">
        <v>69</v>
      </c>
      <c r="C1071" s="62" t="s">
        <v>70</v>
      </c>
      <c r="D1071" s="94"/>
      <c r="E1071" s="95" t="s">
        <v>69</v>
      </c>
      <c r="F1071" s="96" t="s">
        <v>70</v>
      </c>
      <c r="H1071" s="66"/>
      <c r="I1071" s="61" t="s">
        <v>69</v>
      </c>
      <c r="J1071" s="61" t="s">
        <v>70</v>
      </c>
      <c r="K1071" s="94"/>
      <c r="L1071" s="95" t="s">
        <v>69</v>
      </c>
      <c r="M1071" s="96" t="s">
        <v>70</v>
      </c>
      <c r="O1071" s="66"/>
      <c r="P1071" s="61" t="s">
        <v>69</v>
      </c>
      <c r="Q1071" s="62" t="s">
        <v>70</v>
      </c>
      <c r="R1071" s="94"/>
      <c r="S1071" s="95" t="s">
        <v>69</v>
      </c>
      <c r="T1071" s="96" t="s">
        <v>70</v>
      </c>
      <c r="V1071" s="66"/>
      <c r="W1071" s="61" t="s">
        <v>69</v>
      </c>
      <c r="X1071" s="62" t="s">
        <v>70</v>
      </c>
      <c r="Y1071" s="94"/>
      <c r="Z1071" s="95" t="s">
        <v>69</v>
      </c>
      <c r="AA1071" s="96" t="s">
        <v>70</v>
      </c>
      <c r="AC1071" s="52" t="s">
        <v>203</v>
      </c>
      <c r="AD1071" s="52">
        <v>6.0</v>
      </c>
      <c r="AF1071" s="52" t="s">
        <v>38</v>
      </c>
      <c r="AG1071" s="52">
        <v>3.0</v>
      </c>
    </row>
    <row r="1072" ht="14.25" customHeight="1">
      <c r="A1072" s="67" t="s">
        <v>296</v>
      </c>
      <c r="B1072" s="68">
        <v>1.0</v>
      </c>
      <c r="C1072" s="69">
        <v>1.0</v>
      </c>
      <c r="D1072" s="97" t="s">
        <v>7</v>
      </c>
      <c r="E1072" s="98">
        <v>1.0</v>
      </c>
      <c r="F1072" s="99"/>
      <c r="H1072" s="67" t="s">
        <v>7</v>
      </c>
      <c r="I1072" s="68"/>
      <c r="J1072" s="191">
        <v>2.0</v>
      </c>
      <c r="K1072" s="97" t="s">
        <v>18</v>
      </c>
      <c r="L1072" s="98"/>
      <c r="M1072" s="99"/>
      <c r="O1072" s="67" t="s">
        <v>10</v>
      </c>
      <c r="P1072" s="68">
        <v>1.0</v>
      </c>
      <c r="Q1072" s="69"/>
      <c r="R1072" s="97" t="s">
        <v>278</v>
      </c>
      <c r="S1072" s="98">
        <v>3.0</v>
      </c>
      <c r="T1072" s="99"/>
      <c r="V1072" s="67" t="s">
        <v>18</v>
      </c>
      <c r="W1072" s="68"/>
      <c r="X1072" s="69"/>
      <c r="Y1072" s="97" t="s">
        <v>263</v>
      </c>
      <c r="Z1072" s="98"/>
      <c r="AA1072" s="99"/>
      <c r="AC1072" s="52" t="s">
        <v>8</v>
      </c>
      <c r="AD1072" s="52">
        <v>5.0</v>
      </c>
      <c r="AF1072" s="52" t="s">
        <v>91</v>
      </c>
      <c r="AG1072" s="52">
        <v>2.0</v>
      </c>
    </row>
    <row r="1073" ht="14.25" customHeight="1">
      <c r="A1073" s="72" t="s">
        <v>10</v>
      </c>
      <c r="B1073" s="73">
        <v>2.0</v>
      </c>
      <c r="C1073" s="69"/>
      <c r="D1073" s="100" t="s">
        <v>263</v>
      </c>
      <c r="E1073" s="101">
        <v>1.0</v>
      </c>
      <c r="F1073" s="102">
        <v>2.0</v>
      </c>
      <c r="H1073" s="72" t="s">
        <v>10</v>
      </c>
      <c r="I1073" s="73"/>
      <c r="J1073" s="191"/>
      <c r="K1073" s="100" t="s">
        <v>278</v>
      </c>
      <c r="L1073" s="101">
        <v>1.0</v>
      </c>
      <c r="M1073" s="102">
        <v>1.0</v>
      </c>
      <c r="O1073" s="72" t="s">
        <v>263</v>
      </c>
      <c r="P1073" s="73">
        <v>2.0</v>
      </c>
      <c r="Q1073" s="69">
        <v>1.0</v>
      </c>
      <c r="R1073" s="100" t="s">
        <v>18</v>
      </c>
      <c r="S1073" s="101">
        <v>1.0</v>
      </c>
      <c r="T1073" s="102">
        <v>1.0</v>
      </c>
      <c r="V1073" s="72" t="s">
        <v>10</v>
      </c>
      <c r="W1073" s="73"/>
      <c r="X1073" s="69">
        <v>2.0</v>
      </c>
      <c r="Y1073" s="100" t="s">
        <v>20</v>
      </c>
      <c r="Z1073" s="101"/>
      <c r="AA1073" s="102"/>
      <c r="AC1073" s="52" t="s">
        <v>277</v>
      </c>
      <c r="AD1073" s="52">
        <v>5.0</v>
      </c>
      <c r="AF1073" s="52" t="s">
        <v>49</v>
      </c>
      <c r="AG1073" s="52">
        <v>2.0</v>
      </c>
    </row>
    <row r="1074" ht="14.25" customHeight="1">
      <c r="A1074" s="72" t="s">
        <v>166</v>
      </c>
      <c r="B1074" s="73">
        <v>1.0</v>
      </c>
      <c r="C1074" s="69"/>
      <c r="D1074" s="100" t="s">
        <v>210</v>
      </c>
      <c r="E1074" s="101">
        <v>1.0</v>
      </c>
      <c r="F1074" s="102"/>
      <c r="H1074" s="72" t="s">
        <v>5</v>
      </c>
      <c r="I1074" s="73">
        <v>1.0</v>
      </c>
      <c r="J1074" s="191"/>
      <c r="K1074" s="100" t="s">
        <v>263</v>
      </c>
      <c r="L1074" s="101"/>
      <c r="M1074" s="102">
        <v>1.0</v>
      </c>
      <c r="O1074" s="72" t="s">
        <v>20</v>
      </c>
      <c r="P1074" s="73"/>
      <c r="Q1074" s="69">
        <v>1.0</v>
      </c>
      <c r="R1074" s="100" t="s">
        <v>17</v>
      </c>
      <c r="S1074" s="101">
        <v>1.0</v>
      </c>
      <c r="T1074" s="102"/>
      <c r="V1074" s="72" t="s">
        <v>166</v>
      </c>
      <c r="W1074" s="73">
        <v>2.0</v>
      </c>
      <c r="X1074" s="69"/>
      <c r="Y1074" s="100" t="s">
        <v>7</v>
      </c>
      <c r="Z1074" s="101"/>
      <c r="AA1074" s="102"/>
      <c r="AC1074" s="52" t="s">
        <v>61</v>
      </c>
      <c r="AD1074" s="52">
        <v>5.0</v>
      </c>
      <c r="AF1074" s="52" t="s">
        <v>289</v>
      </c>
      <c r="AG1074" s="52">
        <v>1.0</v>
      </c>
    </row>
    <row r="1075" ht="14.25" customHeight="1">
      <c r="A1075" s="72" t="s">
        <v>6</v>
      </c>
      <c r="B1075" s="73"/>
      <c r="C1075" s="69"/>
      <c r="D1075" s="100" t="s">
        <v>20</v>
      </c>
      <c r="E1075" s="101">
        <v>2.0</v>
      </c>
      <c r="F1075" s="102">
        <v>1.0</v>
      </c>
      <c r="H1075" s="72" t="s">
        <v>296</v>
      </c>
      <c r="I1075" s="73"/>
      <c r="J1075" s="191"/>
      <c r="K1075" s="100" t="s">
        <v>20</v>
      </c>
      <c r="L1075" s="101">
        <v>1.0</v>
      </c>
      <c r="M1075" s="102"/>
      <c r="O1075" s="72" t="s">
        <v>5</v>
      </c>
      <c r="P1075" s="73">
        <v>2.0</v>
      </c>
      <c r="Q1075" s="69">
        <v>1.0</v>
      </c>
      <c r="R1075" s="100" t="s">
        <v>166</v>
      </c>
      <c r="S1075" s="101">
        <v>2.0</v>
      </c>
      <c r="T1075" s="102">
        <v>2.0</v>
      </c>
      <c r="V1075" s="72" t="s">
        <v>17</v>
      </c>
      <c r="W1075" s="73">
        <v>2.0</v>
      </c>
      <c r="X1075" s="69">
        <v>1.0</v>
      </c>
      <c r="Y1075" s="100" t="s">
        <v>5</v>
      </c>
      <c r="Z1075" s="101">
        <v>1.0</v>
      </c>
      <c r="AA1075" s="102">
        <v>1.0</v>
      </c>
      <c r="AC1075" s="52" t="s">
        <v>82</v>
      </c>
      <c r="AD1075" s="52">
        <v>3.0</v>
      </c>
      <c r="AF1075" s="52" t="s">
        <v>29</v>
      </c>
      <c r="AG1075" s="52">
        <v>1.0</v>
      </c>
    </row>
    <row r="1076" ht="14.25" customHeight="1">
      <c r="A1076" s="77" t="s">
        <v>5</v>
      </c>
      <c r="B1076" s="78">
        <v>1.0</v>
      </c>
      <c r="C1076" s="82">
        <v>1.0</v>
      </c>
      <c r="D1076" s="103" t="s">
        <v>18</v>
      </c>
      <c r="E1076" s="104">
        <v>1.0</v>
      </c>
      <c r="F1076" s="105"/>
      <c r="H1076" s="77" t="s">
        <v>166</v>
      </c>
      <c r="I1076" s="78">
        <v>1.0</v>
      </c>
      <c r="J1076" s="190"/>
      <c r="K1076" s="103" t="s">
        <v>17</v>
      </c>
      <c r="L1076" s="104">
        <v>2.0</v>
      </c>
      <c r="M1076" s="105">
        <v>1.0</v>
      </c>
      <c r="O1076" s="77" t="s">
        <v>4</v>
      </c>
      <c r="P1076" s="78">
        <v>1.0</v>
      </c>
      <c r="Q1076" s="190">
        <v>2.0</v>
      </c>
      <c r="R1076" s="103" t="s">
        <v>7</v>
      </c>
      <c r="S1076" s="104"/>
      <c r="T1076" s="105">
        <v>1.0</v>
      </c>
      <c r="V1076" s="77" t="s">
        <v>4</v>
      </c>
      <c r="W1076" s="78">
        <v>1.0</v>
      </c>
      <c r="X1076" s="82"/>
      <c r="Y1076" s="103" t="s">
        <v>278</v>
      </c>
      <c r="Z1076" s="104">
        <v>1.0</v>
      </c>
      <c r="AA1076" s="105"/>
      <c r="AC1076" s="52" t="s">
        <v>267</v>
      </c>
      <c r="AD1076" s="52">
        <v>3.0</v>
      </c>
      <c r="AF1076" s="52" t="s">
        <v>297</v>
      </c>
      <c r="AG1076" s="52">
        <v>1.0</v>
      </c>
    </row>
    <row r="1077" ht="14.25" customHeight="1">
      <c r="Y1077" s="59"/>
      <c r="Z1077" s="59"/>
      <c r="AD1077" s="48"/>
      <c r="AG1077" s="48"/>
    </row>
    <row r="1078" ht="14.25" customHeight="1">
      <c r="Y1078" s="90"/>
      <c r="Z1078" s="90"/>
    </row>
    <row r="1079" ht="14.25" customHeight="1">
      <c r="Y1079" s="56">
        <f>A1070+D1070+H1070+K1070+O1070+R1070+V1070+Y1070</f>
        <v>37</v>
      </c>
      <c r="Z1079" s="3"/>
      <c r="AG1079" s="48"/>
    </row>
    <row r="1080" ht="14.25" customHeight="1"/>
    <row r="1081" ht="14.25" customHeight="1">
      <c r="AD1081" s="48"/>
    </row>
    <row r="1082" ht="14.25" customHeight="1">
      <c r="P1082" s="8">
        <v>45627.0</v>
      </c>
      <c r="Q1082" s="2"/>
      <c r="R1082" s="2"/>
      <c r="S1082" s="3"/>
    </row>
    <row r="1083" ht="14.25" customHeight="1">
      <c r="D1083" s="225"/>
      <c r="R1083" s="225"/>
      <c r="Y1083" s="225" t="s">
        <v>351</v>
      </c>
    </row>
    <row r="1084" ht="14.25" customHeight="1">
      <c r="A1084" s="9">
        <v>14.0</v>
      </c>
      <c r="B1084" s="10">
        <v>45629.0</v>
      </c>
      <c r="C1084" s="2"/>
      <c r="D1084" s="2"/>
      <c r="E1084" s="2"/>
      <c r="F1084" s="3"/>
      <c r="H1084" s="9"/>
      <c r="I1084" s="10" t="s">
        <v>353</v>
      </c>
      <c r="J1084" s="2"/>
      <c r="K1084" s="2"/>
      <c r="L1084" s="2"/>
      <c r="M1084" s="3"/>
      <c r="O1084" s="9">
        <v>15.0</v>
      </c>
      <c r="P1084" s="10">
        <v>45643.0</v>
      </c>
      <c r="Q1084" s="2"/>
      <c r="R1084" s="2"/>
      <c r="S1084" s="2"/>
      <c r="T1084" s="3"/>
      <c r="V1084" s="9">
        <v>16.0</v>
      </c>
      <c r="W1084" s="10">
        <v>45649.0</v>
      </c>
      <c r="X1084" s="2"/>
      <c r="Y1084" s="2"/>
      <c r="Z1084" s="2"/>
      <c r="AA1084" s="3"/>
      <c r="AC1084" s="51" t="s">
        <v>354</v>
      </c>
      <c r="AD1084" s="2"/>
      <c r="AE1084" s="2"/>
      <c r="AF1084" s="2"/>
      <c r="AG1084" s="3"/>
    </row>
    <row r="1085" ht="14.25" customHeight="1">
      <c r="A1085" s="14">
        <v>5.0</v>
      </c>
      <c r="B1085" s="2"/>
      <c r="C1085" s="3"/>
      <c r="D1085" s="39">
        <v>7.0</v>
      </c>
      <c r="E1085" s="2"/>
      <c r="F1085" s="3"/>
      <c r="H1085" s="204">
        <v>0.0</v>
      </c>
      <c r="I1085" s="2"/>
      <c r="J1085" s="3"/>
      <c r="K1085" s="204">
        <v>0.0</v>
      </c>
      <c r="L1085" s="2"/>
      <c r="M1085" s="3"/>
      <c r="O1085" s="14">
        <v>6.0</v>
      </c>
      <c r="P1085" s="2"/>
      <c r="Q1085" s="3"/>
      <c r="R1085" s="39">
        <v>9.0</v>
      </c>
      <c r="S1085" s="2"/>
      <c r="T1085" s="3"/>
      <c r="V1085" s="14">
        <v>5.0</v>
      </c>
      <c r="W1085" s="2"/>
      <c r="X1085" s="3"/>
      <c r="Y1085" s="39">
        <v>10.0</v>
      </c>
      <c r="Z1085" s="2"/>
      <c r="AA1085" s="3"/>
    </row>
    <row r="1086" ht="12.0" customHeight="1">
      <c r="A1086" s="60"/>
      <c r="B1086" s="61" t="s">
        <v>69</v>
      </c>
      <c r="C1086" s="62" t="s">
        <v>70</v>
      </c>
      <c r="D1086" s="94"/>
      <c r="E1086" s="95" t="s">
        <v>69</v>
      </c>
      <c r="F1086" s="96" t="s">
        <v>70</v>
      </c>
      <c r="H1086" s="177"/>
      <c r="I1086" s="206" t="s">
        <v>69</v>
      </c>
      <c r="J1086" s="206" t="s">
        <v>70</v>
      </c>
      <c r="K1086" s="177"/>
      <c r="L1086" s="208" t="s">
        <v>69</v>
      </c>
      <c r="M1086" s="206" t="s">
        <v>70</v>
      </c>
      <c r="O1086" s="66"/>
      <c r="P1086" s="61" t="s">
        <v>69</v>
      </c>
      <c r="Q1086" s="62" t="s">
        <v>70</v>
      </c>
      <c r="R1086" s="94"/>
      <c r="S1086" s="95" t="s">
        <v>69</v>
      </c>
      <c r="T1086" s="96" t="s">
        <v>70</v>
      </c>
      <c r="V1086" s="66"/>
      <c r="W1086" s="61" t="s">
        <v>69</v>
      </c>
      <c r="X1086" s="62" t="s">
        <v>70</v>
      </c>
      <c r="Y1086" s="94"/>
      <c r="Z1086" s="95" t="s">
        <v>69</v>
      </c>
      <c r="AA1086" s="96" t="s">
        <v>70</v>
      </c>
      <c r="AC1086" s="52" t="s">
        <v>8</v>
      </c>
      <c r="AD1086" s="52">
        <v>7.0</v>
      </c>
      <c r="AF1086" s="52" t="s">
        <v>267</v>
      </c>
      <c r="AG1086" s="52">
        <v>3.0</v>
      </c>
    </row>
    <row r="1087" ht="14.25" customHeight="1">
      <c r="A1087" s="67" t="s">
        <v>263</v>
      </c>
      <c r="B1087" s="68">
        <v>3.0</v>
      </c>
      <c r="C1087" s="69">
        <v>1.0</v>
      </c>
      <c r="D1087" s="97" t="s">
        <v>18</v>
      </c>
      <c r="E1087" s="98">
        <v>1.0</v>
      </c>
      <c r="F1087" s="99"/>
      <c r="H1087" s="209"/>
      <c r="I1087" s="210"/>
      <c r="J1087" s="217"/>
      <c r="K1087" s="209"/>
      <c r="L1087" s="212"/>
      <c r="M1087" s="213"/>
      <c r="O1087" s="67" t="s">
        <v>278</v>
      </c>
      <c r="P1087" s="68">
        <v>1.0</v>
      </c>
      <c r="Q1087" s="69"/>
      <c r="R1087" s="97" t="s">
        <v>55</v>
      </c>
      <c r="S1087" s="98">
        <v>1.0</v>
      </c>
      <c r="T1087" s="99">
        <v>2.0</v>
      </c>
      <c r="V1087" s="67" t="s">
        <v>6</v>
      </c>
      <c r="W1087" s="68"/>
      <c r="X1087" s="69"/>
      <c r="Y1087" s="97" t="s">
        <v>278</v>
      </c>
      <c r="Z1087" s="98">
        <v>3.0</v>
      </c>
      <c r="AA1087" s="99">
        <v>1.0</v>
      </c>
      <c r="AC1087" s="52" t="s">
        <v>277</v>
      </c>
      <c r="AD1087" s="52">
        <v>6.0</v>
      </c>
      <c r="AF1087" s="52" t="s">
        <v>36</v>
      </c>
      <c r="AG1087" s="52">
        <v>3.0</v>
      </c>
    </row>
    <row r="1088" ht="14.25" customHeight="1">
      <c r="A1088" s="72" t="s">
        <v>7</v>
      </c>
      <c r="B1088" s="73">
        <v>1.0</v>
      </c>
      <c r="C1088" s="69">
        <v>3.0</v>
      </c>
      <c r="D1088" s="100" t="s">
        <v>5</v>
      </c>
      <c r="E1088" s="101">
        <v>1.0</v>
      </c>
      <c r="F1088" s="102">
        <v>3.0</v>
      </c>
      <c r="H1088" s="214"/>
      <c r="I1088" s="215"/>
      <c r="J1088" s="217"/>
      <c r="K1088" s="214"/>
      <c r="L1088" s="216"/>
      <c r="M1088" s="217"/>
      <c r="O1088" s="72" t="s">
        <v>4</v>
      </c>
      <c r="P1088" s="73">
        <v>3.0</v>
      </c>
      <c r="Q1088" s="69">
        <v>2.0</v>
      </c>
      <c r="R1088" s="100" t="s">
        <v>7</v>
      </c>
      <c r="S1088" s="101">
        <v>1.0</v>
      </c>
      <c r="T1088" s="102">
        <v>1.0</v>
      </c>
      <c r="V1088" s="72" t="s">
        <v>14</v>
      </c>
      <c r="W1088" s="73">
        <v>2.0</v>
      </c>
      <c r="X1088" s="69">
        <v>2.0</v>
      </c>
      <c r="Y1088" s="100" t="s">
        <v>11</v>
      </c>
      <c r="Z1088" s="101">
        <v>1.0</v>
      </c>
      <c r="AA1088" s="102"/>
      <c r="AC1088" s="52" t="s">
        <v>203</v>
      </c>
      <c r="AD1088" s="52">
        <v>5.0</v>
      </c>
      <c r="AF1088" s="52" t="s">
        <v>91</v>
      </c>
      <c r="AG1088" s="52">
        <v>2.0</v>
      </c>
    </row>
    <row r="1089" ht="14.25" customHeight="1">
      <c r="A1089" s="72" t="s">
        <v>210</v>
      </c>
      <c r="B1089" s="73"/>
      <c r="C1089" s="69"/>
      <c r="D1089" s="100" t="s">
        <v>10</v>
      </c>
      <c r="E1089" s="101">
        <v>2.0</v>
      </c>
      <c r="F1089" s="102">
        <v>2.0</v>
      </c>
      <c r="H1089" s="214"/>
      <c r="I1089" s="215"/>
      <c r="J1089" s="217"/>
      <c r="K1089" s="214"/>
      <c r="L1089" s="216"/>
      <c r="M1089" s="217"/>
      <c r="O1089" s="72" t="s">
        <v>14</v>
      </c>
      <c r="P1089" s="73">
        <v>1.0</v>
      </c>
      <c r="Q1089" s="69"/>
      <c r="R1089" s="100" t="s">
        <v>17</v>
      </c>
      <c r="S1089" s="101">
        <v>2.0</v>
      </c>
      <c r="T1089" s="102">
        <v>4.0</v>
      </c>
      <c r="V1089" s="72" t="s">
        <v>263</v>
      </c>
      <c r="W1089" s="73"/>
      <c r="X1089" s="69">
        <v>1.0</v>
      </c>
      <c r="Y1089" s="100" t="s">
        <v>7</v>
      </c>
      <c r="Z1089" s="101">
        <v>1.0</v>
      </c>
      <c r="AA1089" s="102">
        <v>1.0</v>
      </c>
      <c r="AC1089" s="52" t="s">
        <v>61</v>
      </c>
      <c r="AD1089" s="52">
        <v>5.0</v>
      </c>
      <c r="AF1089" s="52" t="s">
        <v>82</v>
      </c>
      <c r="AG1089" s="52">
        <v>2.0</v>
      </c>
    </row>
    <row r="1090" ht="14.25" customHeight="1">
      <c r="A1090" s="72" t="s">
        <v>4</v>
      </c>
      <c r="B1090" s="73">
        <v>1.0</v>
      </c>
      <c r="C1090" s="69">
        <v>1.0</v>
      </c>
      <c r="D1090" s="100" t="s">
        <v>278</v>
      </c>
      <c r="E1090" s="101">
        <v>2.0</v>
      </c>
      <c r="F1090" s="102"/>
      <c r="H1090" s="214"/>
      <c r="I1090" s="215"/>
      <c r="J1090" s="217"/>
      <c r="K1090" s="214"/>
      <c r="L1090" s="216"/>
      <c r="M1090" s="217"/>
      <c r="O1090" s="72" t="s">
        <v>18</v>
      </c>
      <c r="P1090" s="73">
        <v>1.0</v>
      </c>
      <c r="Q1090" s="69">
        <v>1.0</v>
      </c>
      <c r="R1090" s="100" t="s">
        <v>166</v>
      </c>
      <c r="S1090" s="101">
        <v>2.0</v>
      </c>
      <c r="T1090" s="102">
        <v>1.0</v>
      </c>
      <c r="V1090" s="72" t="s">
        <v>17</v>
      </c>
      <c r="W1090" s="73">
        <v>3.0</v>
      </c>
      <c r="X1090" s="69"/>
      <c r="Y1090" s="100" t="s">
        <v>166</v>
      </c>
      <c r="Z1090" s="101">
        <v>2.0</v>
      </c>
      <c r="AA1090" s="102">
        <v>3.0</v>
      </c>
      <c r="AC1090" s="52" t="s">
        <v>49</v>
      </c>
      <c r="AD1090" s="52">
        <v>4.0</v>
      </c>
      <c r="AF1090" s="52" t="s">
        <v>119</v>
      </c>
      <c r="AG1090" s="52">
        <v>1.0</v>
      </c>
    </row>
    <row r="1091" ht="14.25" customHeight="1">
      <c r="A1091" s="77" t="s">
        <v>137</v>
      </c>
      <c r="B1091" s="78"/>
      <c r="C1091" s="82"/>
      <c r="D1091" s="103" t="s">
        <v>166</v>
      </c>
      <c r="E1091" s="104">
        <v>1.0</v>
      </c>
      <c r="F1091" s="105"/>
      <c r="H1091" s="163"/>
      <c r="I1091" s="220"/>
      <c r="J1091" s="222"/>
      <c r="K1091" s="163"/>
      <c r="L1091" s="221"/>
      <c r="M1091" s="222"/>
      <c r="O1091" s="77" t="s">
        <v>296</v>
      </c>
      <c r="P1091" s="78"/>
      <c r="Q1091" s="190">
        <v>2.0</v>
      </c>
      <c r="R1091" s="103" t="s">
        <v>5</v>
      </c>
      <c r="S1091" s="104">
        <v>3.0</v>
      </c>
      <c r="T1091" s="105"/>
      <c r="V1091" s="77" t="s">
        <v>4</v>
      </c>
      <c r="W1091" s="78"/>
      <c r="X1091" s="190">
        <v>1.0</v>
      </c>
      <c r="Y1091" s="103" t="s">
        <v>5</v>
      </c>
      <c r="Z1091" s="104">
        <v>3.0</v>
      </c>
      <c r="AA1091" s="105">
        <v>2.0</v>
      </c>
      <c r="AC1091" s="52" t="s">
        <v>29</v>
      </c>
      <c r="AD1091" s="52">
        <v>3.0</v>
      </c>
      <c r="AF1091" s="52" t="s">
        <v>41</v>
      </c>
      <c r="AG1091" s="52">
        <v>1.0</v>
      </c>
    </row>
    <row r="1092" ht="14.25" customHeight="1">
      <c r="AD1092" s="48"/>
      <c r="AG1092" s="48"/>
    </row>
    <row r="1093" ht="14.25" customHeight="1">
      <c r="Y1093" s="90"/>
      <c r="Z1093" s="90"/>
    </row>
    <row r="1094" ht="14.25" customHeight="1">
      <c r="Y1094" s="56">
        <f>A1085+D1085+H1085+K1085+O1085+R1085+V1085+Y1085</f>
        <v>42</v>
      </c>
      <c r="Z1094" s="3"/>
      <c r="AG1094" s="48"/>
    </row>
    <row r="1095" ht="14.25" customHeight="1"/>
    <row r="1096" ht="14.25" customHeight="1"/>
    <row r="1097" ht="14.25" customHeight="1">
      <c r="P1097" s="8">
        <v>45658.0</v>
      </c>
      <c r="Q1097" s="2"/>
      <c r="R1097" s="2"/>
      <c r="S1097" s="3"/>
    </row>
    <row r="1098" ht="14.25" customHeight="1">
      <c r="D1098" s="225"/>
      <c r="R1098" s="225" t="s">
        <v>350</v>
      </c>
      <c r="Y1098" s="225"/>
    </row>
    <row r="1099" ht="14.25" customHeight="1">
      <c r="A1099" s="9">
        <v>17.0</v>
      </c>
      <c r="B1099" s="10">
        <v>45664.0</v>
      </c>
      <c r="C1099" s="2"/>
      <c r="D1099" s="2"/>
      <c r="E1099" s="2"/>
      <c r="F1099" s="3"/>
      <c r="H1099" s="9">
        <v>18.0</v>
      </c>
      <c r="I1099" s="10">
        <v>45671.0</v>
      </c>
      <c r="J1099" s="2"/>
      <c r="K1099" s="2"/>
      <c r="L1099" s="2"/>
      <c r="M1099" s="3"/>
      <c r="O1099" s="9">
        <v>19.0</v>
      </c>
      <c r="P1099" s="10">
        <v>45679.0</v>
      </c>
      <c r="Q1099" s="2"/>
      <c r="R1099" s="2"/>
      <c r="S1099" s="2"/>
      <c r="T1099" s="3"/>
      <c r="V1099" s="9">
        <v>20.0</v>
      </c>
      <c r="W1099" s="10">
        <v>45685.0</v>
      </c>
      <c r="X1099" s="2"/>
      <c r="Y1099" s="2"/>
      <c r="Z1099" s="2"/>
      <c r="AA1099" s="3"/>
      <c r="AC1099" s="51" t="s">
        <v>355</v>
      </c>
      <c r="AD1099" s="2"/>
      <c r="AE1099" s="2"/>
      <c r="AF1099" s="2"/>
      <c r="AG1099" s="3"/>
    </row>
    <row r="1100" ht="14.25" customHeight="1">
      <c r="A1100" s="14">
        <v>4.0</v>
      </c>
      <c r="B1100" s="2"/>
      <c r="C1100" s="3"/>
      <c r="D1100" s="39">
        <v>3.0</v>
      </c>
      <c r="E1100" s="2"/>
      <c r="F1100" s="3"/>
      <c r="H1100" s="14">
        <v>2.0</v>
      </c>
      <c r="I1100" s="2"/>
      <c r="J1100" s="3"/>
      <c r="K1100" s="39">
        <v>2.0</v>
      </c>
      <c r="L1100" s="2"/>
      <c r="M1100" s="3"/>
      <c r="O1100" s="14">
        <v>3.0</v>
      </c>
      <c r="P1100" s="2"/>
      <c r="Q1100" s="3"/>
      <c r="R1100" s="39">
        <v>6.0</v>
      </c>
      <c r="S1100" s="2"/>
      <c r="T1100" s="3"/>
      <c r="V1100" s="14">
        <v>7.0</v>
      </c>
      <c r="W1100" s="2"/>
      <c r="X1100" s="3"/>
      <c r="Y1100" s="39">
        <v>0.0</v>
      </c>
      <c r="Z1100" s="2"/>
      <c r="AA1100" s="3"/>
    </row>
    <row r="1101" ht="12.0" customHeight="1">
      <c r="A1101" s="60"/>
      <c r="B1101" s="61" t="s">
        <v>69</v>
      </c>
      <c r="C1101" s="62" t="s">
        <v>70</v>
      </c>
      <c r="D1101" s="94"/>
      <c r="E1101" s="95" t="s">
        <v>69</v>
      </c>
      <c r="F1101" s="96" t="s">
        <v>70</v>
      </c>
      <c r="H1101" s="60"/>
      <c r="I1101" s="61" t="s">
        <v>69</v>
      </c>
      <c r="J1101" s="62" t="s">
        <v>70</v>
      </c>
      <c r="K1101" s="94"/>
      <c r="L1101" s="95" t="s">
        <v>69</v>
      </c>
      <c r="M1101" s="96" t="s">
        <v>70</v>
      </c>
      <c r="O1101" s="66"/>
      <c r="P1101" s="61" t="s">
        <v>69</v>
      </c>
      <c r="Q1101" s="62" t="s">
        <v>70</v>
      </c>
      <c r="R1101" s="94"/>
      <c r="S1101" s="95" t="s">
        <v>69</v>
      </c>
      <c r="T1101" s="96" t="s">
        <v>70</v>
      </c>
      <c r="V1101" s="66"/>
      <c r="W1101" s="61" t="s">
        <v>69</v>
      </c>
      <c r="X1101" s="62" t="s">
        <v>70</v>
      </c>
      <c r="Y1101" s="94"/>
      <c r="Z1101" s="95" t="s">
        <v>69</v>
      </c>
      <c r="AA1101" s="96" t="s">
        <v>70</v>
      </c>
      <c r="AC1101" s="52" t="s">
        <v>82</v>
      </c>
      <c r="AD1101" s="52">
        <v>5.0</v>
      </c>
      <c r="AF1101" s="52" t="s">
        <v>267</v>
      </c>
      <c r="AG1101" s="52">
        <v>1.0</v>
      </c>
    </row>
    <row r="1102" ht="14.25" customHeight="1">
      <c r="A1102" s="67" t="s">
        <v>10</v>
      </c>
      <c r="B1102" s="68"/>
      <c r="C1102" s="69">
        <v>1.0</v>
      </c>
      <c r="D1102" s="97" t="s">
        <v>263</v>
      </c>
      <c r="E1102" s="98">
        <v>1.0</v>
      </c>
      <c r="F1102" s="99"/>
      <c r="H1102" s="67" t="s">
        <v>10</v>
      </c>
      <c r="I1102" s="68"/>
      <c r="J1102" s="69"/>
      <c r="K1102" s="97" t="s">
        <v>296</v>
      </c>
      <c r="L1102" s="98">
        <v>1.0</v>
      </c>
      <c r="M1102" s="99"/>
      <c r="O1102" s="67" t="s">
        <v>18</v>
      </c>
      <c r="P1102" s="68"/>
      <c r="Q1102" s="69"/>
      <c r="R1102" s="97" t="s">
        <v>10</v>
      </c>
      <c r="S1102" s="98">
        <v>2.0</v>
      </c>
      <c r="T1102" s="99">
        <v>2.0</v>
      </c>
      <c r="V1102" s="67" t="s">
        <v>10</v>
      </c>
      <c r="W1102" s="68">
        <v>3.0</v>
      </c>
      <c r="X1102" s="69">
        <v>1.0</v>
      </c>
      <c r="Y1102" s="97" t="s">
        <v>18</v>
      </c>
      <c r="Z1102" s="98"/>
      <c r="AA1102" s="99"/>
      <c r="AC1102" s="52" t="s">
        <v>277</v>
      </c>
      <c r="AD1102" s="52">
        <v>5.0</v>
      </c>
      <c r="AF1102" s="52" t="s">
        <v>49</v>
      </c>
      <c r="AG1102" s="52">
        <v>1.0</v>
      </c>
    </row>
    <row r="1103" ht="14.25" customHeight="1">
      <c r="A1103" s="72" t="s">
        <v>18</v>
      </c>
      <c r="B1103" s="73"/>
      <c r="C1103" s="69"/>
      <c r="D1103" s="100" t="s">
        <v>7</v>
      </c>
      <c r="E1103" s="101"/>
      <c r="F1103" s="102"/>
      <c r="H1103" s="72" t="s">
        <v>7</v>
      </c>
      <c r="I1103" s="73"/>
      <c r="J1103" s="69"/>
      <c r="K1103" s="100" t="s">
        <v>278</v>
      </c>
      <c r="L1103" s="101"/>
      <c r="M1103" s="102"/>
      <c r="O1103" s="72" t="s">
        <v>166</v>
      </c>
      <c r="P1103" s="73">
        <v>1.0</v>
      </c>
      <c r="Q1103" s="69">
        <v>1.0</v>
      </c>
      <c r="R1103" s="100" t="s">
        <v>263</v>
      </c>
      <c r="S1103" s="101"/>
      <c r="T1103" s="102"/>
      <c r="V1103" s="72" t="s">
        <v>7</v>
      </c>
      <c r="W1103" s="73">
        <v>1.0</v>
      </c>
      <c r="X1103" s="69">
        <v>3.0</v>
      </c>
      <c r="Y1103" s="100" t="s">
        <v>11</v>
      </c>
      <c r="Z1103" s="101"/>
      <c r="AA1103" s="102"/>
      <c r="AC1103" s="52" t="s">
        <v>297</v>
      </c>
      <c r="AD1103" s="52">
        <v>3.0</v>
      </c>
      <c r="AF1103" s="52" t="s">
        <v>134</v>
      </c>
      <c r="AG1103" s="52">
        <v>1.0</v>
      </c>
    </row>
    <row r="1104" ht="14.25" customHeight="1">
      <c r="A1104" s="72" t="s">
        <v>20</v>
      </c>
      <c r="B1104" s="73"/>
      <c r="C1104" s="69">
        <v>1.0</v>
      </c>
      <c r="D1104" s="100" t="s">
        <v>166</v>
      </c>
      <c r="E1104" s="101">
        <v>1.0</v>
      </c>
      <c r="F1104" s="102"/>
      <c r="H1104" s="72" t="s">
        <v>153</v>
      </c>
      <c r="I1104" s="73">
        <v>2.0</v>
      </c>
      <c r="J1104" s="69"/>
      <c r="K1104" s="100" t="s">
        <v>4</v>
      </c>
      <c r="L1104" s="101"/>
      <c r="M1104" s="102"/>
      <c r="O1104" s="72" t="s">
        <v>304</v>
      </c>
      <c r="P1104" s="73"/>
      <c r="Q1104" s="69">
        <v>1.0</v>
      </c>
      <c r="R1104" s="100" t="s">
        <v>20</v>
      </c>
      <c r="S1104" s="101"/>
      <c r="T1104" s="102">
        <v>1.0</v>
      </c>
      <c r="V1104" s="72" t="s">
        <v>263</v>
      </c>
      <c r="W1104" s="73"/>
      <c r="X1104" s="69"/>
      <c r="Y1104" s="100" t="s">
        <v>14</v>
      </c>
      <c r="Z1104" s="101"/>
      <c r="AA1104" s="102"/>
      <c r="AC1104" s="52" t="s">
        <v>8</v>
      </c>
      <c r="AD1104" s="52">
        <v>2.0</v>
      </c>
      <c r="AF1104" s="52" t="s">
        <v>29</v>
      </c>
      <c r="AG1104" s="52">
        <v>1.0</v>
      </c>
    </row>
    <row r="1105" ht="14.25" customHeight="1">
      <c r="A1105" s="72" t="s">
        <v>278</v>
      </c>
      <c r="B1105" s="73">
        <v>2.0</v>
      </c>
      <c r="C1105" s="69"/>
      <c r="D1105" s="100" t="s">
        <v>17</v>
      </c>
      <c r="E1105" s="101">
        <v>1.0</v>
      </c>
      <c r="F1105" s="102"/>
      <c r="H1105" s="72" t="s">
        <v>5</v>
      </c>
      <c r="I1105" s="73"/>
      <c r="J1105" s="69">
        <v>2.0</v>
      </c>
      <c r="K1105" s="100" t="s">
        <v>20</v>
      </c>
      <c r="L1105" s="101"/>
      <c r="M1105" s="102">
        <v>1.0</v>
      </c>
      <c r="O1105" s="72" t="s">
        <v>9</v>
      </c>
      <c r="P1105" s="73">
        <v>1.0</v>
      </c>
      <c r="Q1105" s="69">
        <v>1.0</v>
      </c>
      <c r="R1105" s="100" t="s">
        <v>296</v>
      </c>
      <c r="S1105" s="101">
        <v>2.0</v>
      </c>
      <c r="T1105" s="102">
        <v>1.0</v>
      </c>
      <c r="V1105" s="72" t="s">
        <v>166</v>
      </c>
      <c r="W1105" s="73"/>
      <c r="X1105" s="69"/>
      <c r="Y1105" s="100" t="s">
        <v>210</v>
      </c>
      <c r="Z1105" s="101"/>
      <c r="AA1105" s="102"/>
      <c r="AC1105" s="52" t="s">
        <v>232</v>
      </c>
      <c r="AD1105" s="52">
        <v>2.0</v>
      </c>
    </row>
    <row r="1106" ht="14.25" customHeight="1">
      <c r="A1106" s="77" t="s">
        <v>4</v>
      </c>
      <c r="B1106" s="78">
        <v>1.0</v>
      </c>
      <c r="C1106" s="82"/>
      <c r="D1106" s="103" t="s">
        <v>5</v>
      </c>
      <c r="E1106" s="104"/>
      <c r="F1106" s="105">
        <v>1.0</v>
      </c>
      <c r="H1106" s="77" t="s">
        <v>18</v>
      </c>
      <c r="I1106" s="78"/>
      <c r="J1106" s="82"/>
      <c r="K1106" s="103" t="s">
        <v>137</v>
      </c>
      <c r="L1106" s="104"/>
      <c r="M1106" s="105"/>
      <c r="O1106" s="77" t="s">
        <v>17</v>
      </c>
      <c r="P1106" s="78">
        <v>1.0</v>
      </c>
      <c r="Q1106" s="190"/>
      <c r="R1106" s="103" t="s">
        <v>5</v>
      </c>
      <c r="S1106" s="104">
        <v>2.0</v>
      </c>
      <c r="T1106" s="105">
        <v>2.0</v>
      </c>
      <c r="V1106" s="77" t="s">
        <v>278</v>
      </c>
      <c r="W1106" s="78">
        <v>3.0</v>
      </c>
      <c r="X1106" s="190">
        <v>2.0</v>
      </c>
      <c r="Y1106" s="103" t="s">
        <v>153</v>
      </c>
      <c r="Z1106" s="104"/>
      <c r="AA1106" s="105"/>
      <c r="AC1106" s="52" t="s">
        <v>203</v>
      </c>
      <c r="AD1106" s="52">
        <v>2.0</v>
      </c>
      <c r="AF1106" s="52" t="s">
        <v>190</v>
      </c>
      <c r="AG1106" s="52">
        <v>1.0</v>
      </c>
    </row>
    <row r="1107" ht="14.25" customHeight="1">
      <c r="A1107" s="77" t="s">
        <v>190</v>
      </c>
      <c r="B1107" s="78">
        <v>1.0</v>
      </c>
      <c r="K1107" s="103" t="s">
        <v>147</v>
      </c>
      <c r="L1107" s="104">
        <v>1.0</v>
      </c>
      <c r="AC1107" s="52" t="s">
        <v>61</v>
      </c>
      <c r="AD1107" s="52">
        <v>2.0</v>
      </c>
      <c r="AF1107" s="52" t="s">
        <v>147</v>
      </c>
      <c r="AG1107" s="52">
        <v>1.0</v>
      </c>
    </row>
    <row r="1108" ht="14.25" customHeight="1">
      <c r="Y1108" s="90"/>
      <c r="Z1108" s="90"/>
      <c r="AD1108" s="48"/>
    </row>
    <row r="1109" ht="14.25" customHeight="1">
      <c r="Y1109" s="56">
        <f>A1100+D1100+H1100+K1100+O1100+R1100+V1100+Y1100</f>
        <v>27</v>
      </c>
      <c r="Z1109" s="3"/>
      <c r="AG1109" s="48"/>
    </row>
    <row r="1110" ht="14.25" customHeight="1"/>
    <row r="1111" ht="14.25" customHeight="1"/>
    <row r="1112" ht="14.25" customHeight="1">
      <c r="P1112" s="8">
        <v>45689.0</v>
      </c>
      <c r="Q1112" s="2"/>
      <c r="R1112" s="2"/>
      <c r="S1112" s="3"/>
    </row>
    <row r="1113" ht="14.25" customHeight="1">
      <c r="D1113" s="225" t="s">
        <v>356</v>
      </c>
      <c r="R1113" s="225"/>
      <c r="Y1113" s="225"/>
    </row>
    <row r="1114" ht="14.25" customHeight="1">
      <c r="A1114" s="9">
        <v>21.0</v>
      </c>
      <c r="B1114" s="10">
        <v>45691.0</v>
      </c>
      <c r="C1114" s="2"/>
      <c r="D1114" s="2"/>
      <c r="E1114" s="2"/>
      <c r="F1114" s="3"/>
      <c r="H1114" s="9">
        <v>22.0</v>
      </c>
      <c r="I1114" s="10">
        <v>45699.0</v>
      </c>
      <c r="J1114" s="2"/>
      <c r="K1114" s="2"/>
      <c r="L1114" s="2"/>
      <c r="M1114" s="3"/>
      <c r="O1114" s="9">
        <v>23.0</v>
      </c>
      <c r="P1114" s="10">
        <v>45706.0</v>
      </c>
      <c r="Q1114" s="2"/>
      <c r="R1114" s="2"/>
      <c r="S1114" s="2"/>
      <c r="T1114" s="3"/>
      <c r="V1114" s="9">
        <v>24.0</v>
      </c>
      <c r="W1114" s="10">
        <v>45713.0</v>
      </c>
      <c r="X1114" s="2"/>
      <c r="Y1114" s="2"/>
      <c r="Z1114" s="2"/>
      <c r="AA1114" s="3"/>
      <c r="AC1114" s="51" t="s">
        <v>357</v>
      </c>
      <c r="AD1114" s="2"/>
      <c r="AE1114" s="2"/>
      <c r="AF1114" s="2"/>
      <c r="AG1114" s="3"/>
    </row>
    <row r="1115" ht="14.25" customHeight="1">
      <c r="A1115" s="14">
        <v>5.0</v>
      </c>
      <c r="B1115" s="2"/>
      <c r="C1115" s="3"/>
      <c r="D1115" s="39">
        <v>6.0</v>
      </c>
      <c r="E1115" s="2"/>
      <c r="F1115" s="3"/>
      <c r="H1115" s="14">
        <v>4.0</v>
      </c>
      <c r="I1115" s="2"/>
      <c r="J1115" s="3"/>
      <c r="K1115" s="39">
        <v>6.0</v>
      </c>
      <c r="L1115" s="2"/>
      <c r="M1115" s="3"/>
      <c r="O1115" s="14">
        <v>4.0</v>
      </c>
      <c r="P1115" s="2"/>
      <c r="Q1115" s="3"/>
      <c r="R1115" s="39">
        <v>1.0</v>
      </c>
      <c r="S1115" s="2"/>
      <c r="T1115" s="3"/>
      <c r="V1115" s="14">
        <v>2.0</v>
      </c>
      <c r="W1115" s="2"/>
      <c r="X1115" s="3"/>
      <c r="Y1115" s="39">
        <v>4.0</v>
      </c>
      <c r="Z1115" s="2"/>
      <c r="AA1115" s="3"/>
    </row>
    <row r="1116" ht="12.0" customHeight="1">
      <c r="A1116" s="60"/>
      <c r="B1116" s="61" t="s">
        <v>69</v>
      </c>
      <c r="C1116" s="62" t="s">
        <v>70</v>
      </c>
      <c r="D1116" s="94"/>
      <c r="E1116" s="95" t="s">
        <v>69</v>
      </c>
      <c r="F1116" s="96" t="s">
        <v>70</v>
      </c>
      <c r="H1116" s="60"/>
      <c r="I1116" s="61" t="s">
        <v>69</v>
      </c>
      <c r="J1116" s="62" t="s">
        <v>70</v>
      </c>
      <c r="K1116" s="94"/>
      <c r="L1116" s="95" t="s">
        <v>69</v>
      </c>
      <c r="M1116" s="96" t="s">
        <v>70</v>
      </c>
      <c r="O1116" s="66"/>
      <c r="P1116" s="61" t="s">
        <v>69</v>
      </c>
      <c r="Q1116" s="62" t="s">
        <v>70</v>
      </c>
      <c r="R1116" s="94"/>
      <c r="S1116" s="95" t="s">
        <v>69</v>
      </c>
      <c r="T1116" s="96" t="s">
        <v>70</v>
      </c>
      <c r="V1116" s="66"/>
      <c r="W1116" s="61" t="s">
        <v>69</v>
      </c>
      <c r="X1116" s="62" t="s">
        <v>70</v>
      </c>
      <c r="Y1116" s="94"/>
      <c r="Z1116" s="95" t="s">
        <v>69</v>
      </c>
      <c r="AA1116" s="96" t="s">
        <v>70</v>
      </c>
      <c r="AC1116" s="52" t="s">
        <v>277</v>
      </c>
      <c r="AD1116" s="52">
        <v>6.0</v>
      </c>
      <c r="AF1116" s="52" t="s">
        <v>49</v>
      </c>
      <c r="AG1116" s="52">
        <v>1.0</v>
      </c>
    </row>
    <row r="1117" ht="14.25" customHeight="1">
      <c r="A1117" s="67" t="s">
        <v>10</v>
      </c>
      <c r="B1117" s="68">
        <v>1.0</v>
      </c>
      <c r="C1117" s="69">
        <v>2.0</v>
      </c>
      <c r="D1117" s="97" t="s">
        <v>18</v>
      </c>
      <c r="E1117" s="98">
        <v>1.0</v>
      </c>
      <c r="F1117" s="99"/>
      <c r="H1117" s="67" t="s">
        <v>10</v>
      </c>
      <c r="I1117" s="68">
        <v>2.0</v>
      </c>
      <c r="J1117" s="69"/>
      <c r="K1117" s="97" t="s">
        <v>7</v>
      </c>
      <c r="L1117" s="98">
        <v>1.0</v>
      </c>
      <c r="M1117" s="99">
        <v>2.0</v>
      </c>
      <c r="O1117" s="67" t="s">
        <v>10</v>
      </c>
      <c r="P1117" s="68"/>
      <c r="Q1117" s="69">
        <v>1.0</v>
      </c>
      <c r="R1117" s="97" t="s">
        <v>18</v>
      </c>
      <c r="S1117" s="98"/>
      <c r="T1117" s="99"/>
      <c r="V1117" s="67" t="s">
        <v>18</v>
      </c>
      <c r="W1117" s="68">
        <v>1.0</v>
      </c>
      <c r="X1117" s="69"/>
      <c r="Y1117" s="97" t="s">
        <v>10</v>
      </c>
      <c r="Z1117" s="98">
        <v>2.0</v>
      </c>
      <c r="AA1117" s="99">
        <v>2.0</v>
      </c>
      <c r="AC1117" s="52" t="s">
        <v>8</v>
      </c>
      <c r="AD1117" s="52">
        <v>5.0</v>
      </c>
      <c r="AF1117" s="52" t="s">
        <v>289</v>
      </c>
      <c r="AG1117" s="52">
        <v>1.0</v>
      </c>
    </row>
    <row r="1118" ht="14.25" customHeight="1">
      <c r="A1118" s="72" t="s">
        <v>7</v>
      </c>
      <c r="B1118" s="73">
        <v>3.0</v>
      </c>
      <c r="C1118" s="69"/>
      <c r="D1118" s="100" t="s">
        <v>4</v>
      </c>
      <c r="E1118" s="101">
        <v>1.0</v>
      </c>
      <c r="F1118" s="102">
        <v>1.0</v>
      </c>
      <c r="H1118" s="72" t="s">
        <v>18</v>
      </c>
      <c r="I1118" s="73"/>
      <c r="J1118" s="69"/>
      <c r="K1118" s="100" t="s">
        <v>278</v>
      </c>
      <c r="L1118" s="101">
        <v>2.0</v>
      </c>
      <c r="M1118" s="102"/>
      <c r="O1118" s="72" t="s">
        <v>20</v>
      </c>
      <c r="P1118" s="73">
        <v>2.0</v>
      </c>
      <c r="Q1118" s="69"/>
      <c r="R1118" s="100" t="s">
        <v>17</v>
      </c>
      <c r="S1118" s="101"/>
      <c r="T1118" s="102"/>
      <c r="V1118" s="72" t="s">
        <v>5</v>
      </c>
      <c r="W1118" s="73"/>
      <c r="X1118" s="69">
        <v>2.0</v>
      </c>
      <c r="Y1118" s="100" t="s">
        <v>278</v>
      </c>
      <c r="Z1118" s="101">
        <v>1.0</v>
      </c>
      <c r="AA1118" s="102"/>
      <c r="AC1118" s="52" t="s">
        <v>82</v>
      </c>
      <c r="AD1118" s="52">
        <v>5.0</v>
      </c>
      <c r="AF1118" s="52" t="s">
        <v>35</v>
      </c>
      <c r="AG1118" s="52">
        <v>1.0</v>
      </c>
    </row>
    <row r="1119" ht="14.25" customHeight="1">
      <c r="A1119" s="72" t="s">
        <v>153</v>
      </c>
      <c r="B1119" s="73"/>
      <c r="C1119" s="69">
        <v>1.0</v>
      </c>
      <c r="D1119" s="100" t="s">
        <v>278</v>
      </c>
      <c r="E1119" s="101">
        <v>3.0</v>
      </c>
      <c r="F1119" s="102"/>
      <c r="H1119" s="72" t="s">
        <v>24</v>
      </c>
      <c r="I1119" s="73">
        <v>1.0</v>
      </c>
      <c r="J1119" s="69">
        <v>1.0</v>
      </c>
      <c r="K1119" s="100" t="s">
        <v>17</v>
      </c>
      <c r="L1119" s="101"/>
      <c r="M1119" s="102">
        <v>2.0</v>
      </c>
      <c r="O1119" s="72" t="s">
        <v>7</v>
      </c>
      <c r="P1119" s="73"/>
      <c r="Q1119" s="69">
        <v>1.0</v>
      </c>
      <c r="R1119" s="100" t="s">
        <v>210</v>
      </c>
      <c r="S1119" s="101"/>
      <c r="T1119" s="102"/>
      <c r="V1119" s="72" t="s">
        <v>166</v>
      </c>
      <c r="W1119" s="73"/>
      <c r="X1119" s="69"/>
      <c r="Y1119" s="100" t="s">
        <v>20</v>
      </c>
      <c r="Z1119" s="101">
        <v>1.0</v>
      </c>
      <c r="AA1119" s="102"/>
      <c r="AC1119" s="52" t="s">
        <v>29</v>
      </c>
      <c r="AD1119" s="52">
        <v>4.0</v>
      </c>
      <c r="AF1119" s="52" t="s">
        <v>134</v>
      </c>
      <c r="AG1119" s="52">
        <v>1.0</v>
      </c>
    </row>
    <row r="1120" ht="14.25" customHeight="1">
      <c r="A1120" s="72" t="s">
        <v>5</v>
      </c>
      <c r="B1120" s="73">
        <v>1.0</v>
      </c>
      <c r="C1120" s="69">
        <v>1.0</v>
      </c>
      <c r="D1120" s="100" t="s">
        <v>210</v>
      </c>
      <c r="E1120" s="101">
        <v>1.0</v>
      </c>
      <c r="F1120" s="102">
        <v>3.0</v>
      </c>
      <c r="H1120" s="72" t="s">
        <v>166</v>
      </c>
      <c r="I1120" s="73">
        <v>1.0</v>
      </c>
      <c r="J1120" s="69">
        <v>1.0</v>
      </c>
      <c r="K1120" s="100" t="s">
        <v>263</v>
      </c>
      <c r="L1120" s="101"/>
      <c r="M1120" s="102"/>
      <c r="O1120" s="72" t="s">
        <v>9</v>
      </c>
      <c r="P1120" s="73">
        <v>1.0</v>
      </c>
      <c r="Q1120" s="69"/>
      <c r="R1120" s="100" t="s">
        <v>4</v>
      </c>
      <c r="S1120" s="101"/>
      <c r="T1120" s="102"/>
      <c r="V1120" s="72" t="s">
        <v>17</v>
      </c>
      <c r="W1120" s="73">
        <v>1.0</v>
      </c>
      <c r="X1120" s="69"/>
      <c r="Y1120" s="100" t="s">
        <v>4</v>
      </c>
      <c r="Z1120" s="101"/>
      <c r="AA1120" s="102">
        <v>1.0</v>
      </c>
      <c r="AC1120" s="52" t="s">
        <v>38</v>
      </c>
      <c r="AD1120" s="52">
        <v>3.0</v>
      </c>
      <c r="AF1120" s="52" t="s">
        <v>61</v>
      </c>
      <c r="AG1120" s="52">
        <v>1.0</v>
      </c>
    </row>
    <row r="1121" ht="14.25" customHeight="1">
      <c r="A1121" s="77"/>
      <c r="B1121" s="78"/>
      <c r="C1121" s="82"/>
      <c r="D1121" s="103"/>
      <c r="E1121" s="104"/>
      <c r="F1121" s="105"/>
      <c r="H1121" s="77" t="s">
        <v>4</v>
      </c>
      <c r="I1121" s="78"/>
      <c r="J1121" s="82">
        <v>1.0</v>
      </c>
      <c r="K1121" s="103" t="s">
        <v>5</v>
      </c>
      <c r="L1121" s="104">
        <v>3.0</v>
      </c>
      <c r="M1121" s="105">
        <v>1.0</v>
      </c>
      <c r="O1121" s="77" t="s">
        <v>5</v>
      </c>
      <c r="P1121" s="78">
        <v>1.0</v>
      </c>
      <c r="Q1121" s="190"/>
      <c r="R1121" s="103" t="s">
        <v>166</v>
      </c>
      <c r="S1121" s="104">
        <v>1.0</v>
      </c>
      <c r="T1121" s="105"/>
      <c r="V1121" s="77" t="s">
        <v>7</v>
      </c>
      <c r="W1121" s="78"/>
      <c r="X1121" s="190"/>
      <c r="Y1121" s="103" t="s">
        <v>210</v>
      </c>
      <c r="Z1121" s="104"/>
      <c r="AA1121" s="105"/>
      <c r="AC1121" s="52" t="s">
        <v>203</v>
      </c>
      <c r="AD1121" s="52">
        <v>2.0</v>
      </c>
    </row>
    <row r="1122" ht="14.25" customHeight="1">
      <c r="AC1122" s="52" t="s">
        <v>91</v>
      </c>
      <c r="AD1122" s="52">
        <v>2.0</v>
      </c>
    </row>
    <row r="1123" ht="14.25" customHeight="1">
      <c r="Y1123" s="90"/>
      <c r="Z1123" s="90"/>
      <c r="AD1123" s="48"/>
    </row>
    <row r="1124" ht="14.25" customHeight="1">
      <c r="Y1124" s="56">
        <f>A1115+D1115+H1115+K1115+O1115+R1115+V1115+Y1115</f>
        <v>32</v>
      </c>
      <c r="Z1124" s="3"/>
      <c r="AG1124" s="48"/>
    </row>
    <row r="1125" ht="14.25" customHeight="1"/>
    <row r="1126" ht="14.25" customHeight="1"/>
    <row r="1127" ht="14.25" customHeight="1">
      <c r="P1127" s="8">
        <v>45717.0</v>
      </c>
      <c r="Q1127" s="2"/>
      <c r="R1127" s="2"/>
      <c r="S1127" s="3"/>
    </row>
    <row r="1128" ht="14.25" customHeight="1">
      <c r="D1128" s="225"/>
      <c r="R1128" s="225"/>
      <c r="Y1128" s="225"/>
    </row>
    <row r="1129" ht="14.25" customHeight="1">
      <c r="A1129" s="9">
        <v>25.0</v>
      </c>
      <c r="B1129" s="10">
        <v>45720.0</v>
      </c>
      <c r="C1129" s="2"/>
      <c r="D1129" s="2"/>
      <c r="E1129" s="2"/>
      <c r="F1129" s="3"/>
      <c r="H1129" s="9">
        <v>26.0</v>
      </c>
      <c r="I1129" s="10">
        <v>45727.0</v>
      </c>
      <c r="J1129" s="2"/>
      <c r="K1129" s="2"/>
      <c r="L1129" s="2"/>
      <c r="M1129" s="3"/>
      <c r="O1129" s="9">
        <v>27.0</v>
      </c>
      <c r="P1129" s="10">
        <v>45734.0</v>
      </c>
      <c r="Q1129" s="2"/>
      <c r="R1129" s="2"/>
      <c r="S1129" s="2"/>
      <c r="T1129" s="3"/>
      <c r="V1129" s="9">
        <v>28.0</v>
      </c>
      <c r="W1129" s="10">
        <v>45741.0</v>
      </c>
      <c r="X1129" s="2"/>
      <c r="Y1129" s="2"/>
      <c r="Z1129" s="2"/>
      <c r="AA1129" s="3"/>
      <c r="AC1129" s="51" t="s">
        <v>358</v>
      </c>
      <c r="AD1129" s="2"/>
      <c r="AE1129" s="2"/>
      <c r="AF1129" s="2"/>
      <c r="AG1129" s="3"/>
    </row>
    <row r="1130" ht="14.25" customHeight="1">
      <c r="A1130" s="14">
        <v>5.0</v>
      </c>
      <c r="B1130" s="2"/>
      <c r="C1130" s="3"/>
      <c r="D1130" s="39">
        <v>7.0</v>
      </c>
      <c r="E1130" s="2"/>
      <c r="F1130" s="3"/>
      <c r="H1130" s="14">
        <v>4.0</v>
      </c>
      <c r="I1130" s="2"/>
      <c r="J1130" s="3"/>
      <c r="K1130" s="39">
        <v>4.0</v>
      </c>
      <c r="L1130" s="2"/>
      <c r="M1130" s="3"/>
      <c r="O1130" s="14">
        <v>2.0</v>
      </c>
      <c r="P1130" s="2"/>
      <c r="Q1130" s="3"/>
      <c r="R1130" s="39">
        <v>3.0</v>
      </c>
      <c r="S1130" s="2"/>
      <c r="T1130" s="3"/>
      <c r="V1130" s="14">
        <v>2.0</v>
      </c>
      <c r="W1130" s="2"/>
      <c r="X1130" s="3"/>
      <c r="Y1130" s="39">
        <v>5.0</v>
      </c>
      <c r="Z1130" s="2"/>
      <c r="AA1130" s="3"/>
    </row>
    <row r="1131" ht="12.0" customHeight="1">
      <c r="A1131" s="60"/>
      <c r="B1131" s="61" t="s">
        <v>69</v>
      </c>
      <c r="C1131" s="62" t="s">
        <v>70</v>
      </c>
      <c r="D1131" s="94"/>
      <c r="E1131" s="95" t="s">
        <v>69</v>
      </c>
      <c r="F1131" s="96" t="s">
        <v>70</v>
      </c>
      <c r="H1131" s="60"/>
      <c r="I1131" s="61" t="s">
        <v>69</v>
      </c>
      <c r="J1131" s="62" t="s">
        <v>70</v>
      </c>
      <c r="K1131" s="94"/>
      <c r="L1131" s="95" t="s">
        <v>69</v>
      </c>
      <c r="M1131" s="96" t="s">
        <v>70</v>
      </c>
      <c r="O1131" s="66"/>
      <c r="P1131" s="61" t="s">
        <v>69</v>
      </c>
      <c r="Q1131" s="62" t="s">
        <v>70</v>
      </c>
      <c r="R1131" s="94"/>
      <c r="S1131" s="95" t="s">
        <v>69</v>
      </c>
      <c r="T1131" s="96" t="s">
        <v>70</v>
      </c>
      <c r="V1131" s="66"/>
      <c r="W1131" s="61" t="s">
        <v>69</v>
      </c>
      <c r="X1131" s="62" t="s">
        <v>70</v>
      </c>
      <c r="Y1131" s="94"/>
      <c r="Z1131" s="95" t="s">
        <v>69</v>
      </c>
      <c r="AA1131" s="96" t="s">
        <v>70</v>
      </c>
      <c r="AC1131" s="52" t="s">
        <v>49</v>
      </c>
      <c r="AD1131" s="52">
        <v>5.0</v>
      </c>
      <c r="AF1131" s="52" t="s">
        <v>203</v>
      </c>
      <c r="AG1131" s="52">
        <v>2.0</v>
      </c>
    </row>
    <row r="1132" ht="14.25" customHeight="1">
      <c r="A1132" s="67" t="s">
        <v>10</v>
      </c>
      <c r="B1132" s="68"/>
      <c r="C1132" s="69">
        <v>1.0</v>
      </c>
      <c r="D1132" s="97" t="s">
        <v>7</v>
      </c>
      <c r="E1132" s="98"/>
      <c r="F1132" s="99">
        <v>1.0</v>
      </c>
      <c r="H1132" s="67" t="s">
        <v>263</v>
      </c>
      <c r="I1132" s="68"/>
      <c r="J1132" s="69"/>
      <c r="K1132" s="97" t="s">
        <v>7</v>
      </c>
      <c r="L1132" s="98"/>
      <c r="M1132" s="99">
        <v>1.0</v>
      </c>
      <c r="O1132" s="67" t="s">
        <v>10</v>
      </c>
      <c r="P1132" s="68"/>
      <c r="Q1132" s="69">
        <v>1.0</v>
      </c>
      <c r="R1132" s="97" t="s">
        <v>153</v>
      </c>
      <c r="S1132" s="98">
        <v>1.0</v>
      </c>
      <c r="T1132" s="99"/>
      <c r="V1132" s="67" t="s">
        <v>10</v>
      </c>
      <c r="W1132" s="68"/>
      <c r="X1132" s="69"/>
      <c r="Y1132" s="97" t="s">
        <v>18</v>
      </c>
      <c r="Z1132" s="98"/>
      <c r="AA1132" s="99"/>
      <c r="AC1132" s="52" t="s">
        <v>277</v>
      </c>
      <c r="AD1132" s="52">
        <v>5.0</v>
      </c>
      <c r="AF1132" s="52" t="s">
        <v>35</v>
      </c>
      <c r="AG1132" s="52">
        <v>2.0</v>
      </c>
    </row>
    <row r="1133" ht="14.25" customHeight="1">
      <c r="A1133" s="72" t="s">
        <v>17</v>
      </c>
      <c r="B1133" s="73">
        <v>2.0</v>
      </c>
      <c r="C1133" s="69"/>
      <c r="D1133" s="100" t="s">
        <v>278</v>
      </c>
      <c r="E1133" s="101">
        <v>3.0</v>
      </c>
      <c r="F1133" s="102"/>
      <c r="H1133" s="72" t="s">
        <v>359</v>
      </c>
      <c r="I1133" s="73"/>
      <c r="J1133" s="69"/>
      <c r="K1133" s="100" t="s">
        <v>10</v>
      </c>
      <c r="L1133" s="101">
        <v>2.0</v>
      </c>
      <c r="M1133" s="102"/>
      <c r="O1133" s="72" t="s">
        <v>7</v>
      </c>
      <c r="P1133" s="73"/>
      <c r="Q1133" s="69"/>
      <c r="R1133" s="100" t="s">
        <v>278</v>
      </c>
      <c r="S1133" s="101"/>
      <c r="T1133" s="102">
        <v>1.0</v>
      </c>
      <c r="V1133" s="72" t="s">
        <v>7</v>
      </c>
      <c r="W1133" s="73"/>
      <c r="X1133" s="69"/>
      <c r="Y1133" s="100" t="s">
        <v>278</v>
      </c>
      <c r="Z1133" s="101">
        <v>2.0</v>
      </c>
      <c r="AA1133" s="102">
        <v>2.0</v>
      </c>
      <c r="AC1133" s="52" t="s">
        <v>289</v>
      </c>
      <c r="AD1133" s="52">
        <v>3.0</v>
      </c>
      <c r="AF1133" s="52" t="s">
        <v>36</v>
      </c>
      <c r="AG1133" s="52">
        <v>1.0</v>
      </c>
    </row>
    <row r="1134" ht="14.25" customHeight="1">
      <c r="A1134" s="72" t="s">
        <v>14</v>
      </c>
      <c r="B1134" s="73">
        <v>1.0</v>
      </c>
      <c r="C1134" s="69"/>
      <c r="D1134" s="100" t="s">
        <v>4</v>
      </c>
      <c r="E1134" s="101">
        <v>1.0</v>
      </c>
      <c r="F1134" s="102">
        <v>1.0</v>
      </c>
      <c r="H1134" s="72" t="s">
        <v>20</v>
      </c>
      <c r="I1134" s="73"/>
      <c r="J1134" s="69">
        <v>1.0</v>
      </c>
      <c r="K1134" s="100" t="s">
        <v>57</v>
      </c>
      <c r="L1134" s="101"/>
      <c r="M1134" s="102">
        <v>1.0</v>
      </c>
      <c r="O1134" s="72" t="s">
        <v>17</v>
      </c>
      <c r="P1134" s="73"/>
      <c r="Q1134" s="69">
        <v>1.0</v>
      </c>
      <c r="R1134" s="100" t="s">
        <v>5</v>
      </c>
      <c r="S1134" s="101"/>
      <c r="T1134" s="102"/>
      <c r="V1134" s="72" t="s">
        <v>20</v>
      </c>
      <c r="W1134" s="73">
        <v>1.0</v>
      </c>
      <c r="X1134" s="69"/>
      <c r="Y1134" s="100" t="s">
        <v>24</v>
      </c>
      <c r="Z1134" s="101">
        <v>2.0</v>
      </c>
      <c r="AA1134" s="102">
        <v>1.0</v>
      </c>
      <c r="AC1134" s="52" t="s">
        <v>38</v>
      </c>
      <c r="AD1134" s="52">
        <v>3.0</v>
      </c>
      <c r="AF1134" s="52" t="s">
        <v>232</v>
      </c>
      <c r="AG1134" s="52">
        <v>1.0</v>
      </c>
    </row>
    <row r="1135" ht="14.25" customHeight="1">
      <c r="A1135" s="72" t="s">
        <v>5</v>
      </c>
      <c r="B1135" s="73">
        <v>1.0</v>
      </c>
      <c r="C1135" s="69">
        <v>1.0</v>
      </c>
      <c r="D1135" s="100" t="s">
        <v>166</v>
      </c>
      <c r="E1135" s="101">
        <v>1.0</v>
      </c>
      <c r="F1135" s="102">
        <v>2.0</v>
      </c>
      <c r="H1135" s="72" t="s">
        <v>210</v>
      </c>
      <c r="I1135" s="73">
        <v>2.0</v>
      </c>
      <c r="J1135" s="69"/>
      <c r="K1135" s="100" t="s">
        <v>166</v>
      </c>
      <c r="L1135" s="101"/>
      <c r="M1135" s="102"/>
      <c r="O1135" s="72" t="s">
        <v>4</v>
      </c>
      <c r="P1135" s="73">
        <v>2.0</v>
      </c>
      <c r="Q1135" s="69"/>
      <c r="R1135" s="100" t="s">
        <v>18</v>
      </c>
      <c r="S1135" s="101"/>
      <c r="T1135" s="102"/>
      <c r="V1135" s="72" t="s">
        <v>359</v>
      </c>
      <c r="W1135" s="73">
        <v>1.0</v>
      </c>
      <c r="X1135" s="69"/>
      <c r="Y1135" s="100" t="s">
        <v>166</v>
      </c>
      <c r="Z1135" s="101">
        <v>1.0</v>
      </c>
      <c r="AA1135" s="102">
        <v>1.0</v>
      </c>
      <c r="AC1135" s="52" t="s">
        <v>61</v>
      </c>
      <c r="AD1135" s="52">
        <v>2.0</v>
      </c>
      <c r="AF1135" s="52" t="s">
        <v>360</v>
      </c>
      <c r="AG1135" s="52">
        <v>1.0</v>
      </c>
    </row>
    <row r="1136" ht="14.25" customHeight="1">
      <c r="A1136" s="77" t="s">
        <v>296</v>
      </c>
      <c r="B1136" s="78"/>
      <c r="C1136" s="82">
        <v>1.0</v>
      </c>
      <c r="D1136" s="103" t="s">
        <v>210</v>
      </c>
      <c r="E1136" s="104">
        <v>1.0</v>
      </c>
      <c r="F1136" s="105"/>
      <c r="H1136" s="77" t="s">
        <v>4</v>
      </c>
      <c r="I1136" s="78">
        <v>2.0</v>
      </c>
      <c r="J1136" s="82"/>
      <c r="K1136" s="103" t="s">
        <v>5</v>
      </c>
      <c r="L1136" s="104">
        <v>1.0</v>
      </c>
      <c r="M1136" s="105">
        <v>1.0</v>
      </c>
      <c r="O1136" s="77" t="s">
        <v>166</v>
      </c>
      <c r="P1136" s="78"/>
      <c r="Q1136" s="190"/>
      <c r="R1136" s="103" t="s">
        <v>20</v>
      </c>
      <c r="S1136" s="104">
        <v>2.0</v>
      </c>
      <c r="T1136" s="105"/>
      <c r="V1136" s="77" t="s">
        <v>210</v>
      </c>
      <c r="W1136" s="78"/>
      <c r="X1136" s="190"/>
      <c r="Y1136" s="103" t="s">
        <v>5</v>
      </c>
      <c r="Z1136" s="104"/>
      <c r="AA1136" s="105"/>
      <c r="AC1136" s="52" t="s">
        <v>8</v>
      </c>
      <c r="AD1136" s="52">
        <v>2.0</v>
      </c>
      <c r="AF1136" s="52" t="s">
        <v>190</v>
      </c>
      <c r="AG1136" s="52">
        <v>1.0</v>
      </c>
    </row>
    <row r="1137" ht="14.25" customHeight="1">
      <c r="A1137" s="77" t="s">
        <v>190</v>
      </c>
      <c r="B1137" s="78">
        <v>1.0</v>
      </c>
      <c r="D1137" s="103" t="s">
        <v>361</v>
      </c>
      <c r="E1137" s="104">
        <v>1.0</v>
      </c>
      <c r="K1137" s="103" t="s">
        <v>292</v>
      </c>
      <c r="L1137" s="104">
        <v>1.0</v>
      </c>
      <c r="AC1137" s="52" t="s">
        <v>82</v>
      </c>
      <c r="AD1137" s="52">
        <v>2.0</v>
      </c>
      <c r="AF1137" s="52" t="s">
        <v>362</v>
      </c>
      <c r="AG1137" s="52">
        <v>1.0</v>
      </c>
    </row>
    <row r="1138" ht="14.25" customHeight="1">
      <c r="Y1138" s="90"/>
      <c r="Z1138" s="90"/>
      <c r="AD1138" s="48"/>
      <c r="AF1138" s="52" t="s">
        <v>292</v>
      </c>
      <c r="AG1138" s="52">
        <v>1.0</v>
      </c>
    </row>
    <row r="1139" ht="14.25" customHeight="1">
      <c r="Y1139" s="56">
        <f>A1130+D1130+H1130+K1130+O1130+R1130+V1130+Y1130</f>
        <v>32</v>
      </c>
      <c r="Z1139" s="3"/>
      <c r="AG1139" s="48"/>
    </row>
    <row r="1140" ht="14.25" customHeight="1"/>
    <row r="1141" ht="14.25" customHeight="1"/>
    <row r="1142" ht="14.25" customHeight="1">
      <c r="P1142" s="8">
        <v>45748.0</v>
      </c>
      <c r="Q1142" s="2"/>
      <c r="R1142" s="2"/>
      <c r="S1142" s="3"/>
    </row>
    <row r="1143" ht="14.25" customHeight="1">
      <c r="D1143" s="131" t="s">
        <v>350</v>
      </c>
    </row>
    <row r="1144" ht="14.25" customHeight="1">
      <c r="A1144" s="9">
        <v>29.0</v>
      </c>
      <c r="B1144" s="10">
        <v>45749.0</v>
      </c>
      <c r="C1144" s="2"/>
      <c r="D1144" s="2"/>
      <c r="E1144" s="2"/>
      <c r="F1144" s="3"/>
      <c r="H1144" s="9">
        <v>30.0</v>
      </c>
      <c r="I1144" s="10">
        <v>45755.0</v>
      </c>
      <c r="J1144" s="2"/>
      <c r="K1144" s="2"/>
      <c r="L1144" s="2"/>
      <c r="M1144" s="3"/>
      <c r="O1144" s="9">
        <v>31.0</v>
      </c>
      <c r="P1144" s="10">
        <v>45762.0</v>
      </c>
      <c r="Q1144" s="2"/>
      <c r="R1144" s="2"/>
      <c r="S1144" s="2"/>
      <c r="T1144" s="3"/>
      <c r="V1144" s="9">
        <v>32.0</v>
      </c>
      <c r="W1144" s="10">
        <v>45769.0</v>
      </c>
      <c r="X1144" s="2"/>
      <c r="Y1144" s="2"/>
      <c r="Z1144" s="2"/>
      <c r="AA1144" s="3"/>
      <c r="AC1144" s="9">
        <v>33.0</v>
      </c>
      <c r="AD1144" s="10">
        <v>45776.0</v>
      </c>
      <c r="AE1144" s="2"/>
      <c r="AF1144" s="2"/>
      <c r="AG1144" s="2"/>
      <c r="AH1144" s="3"/>
    </row>
    <row r="1145" ht="14.25" customHeight="1">
      <c r="A1145" s="14">
        <v>6.0</v>
      </c>
      <c r="B1145" s="2"/>
      <c r="C1145" s="3"/>
      <c r="D1145" s="39">
        <v>6.0</v>
      </c>
      <c r="E1145" s="2"/>
      <c r="F1145" s="3"/>
      <c r="H1145" s="14">
        <v>4.0</v>
      </c>
      <c r="I1145" s="2"/>
      <c r="J1145" s="3"/>
      <c r="K1145" s="39">
        <v>8.0</v>
      </c>
      <c r="L1145" s="2"/>
      <c r="M1145" s="3"/>
      <c r="O1145" s="14">
        <v>3.0</v>
      </c>
      <c r="P1145" s="2"/>
      <c r="Q1145" s="3"/>
      <c r="R1145" s="39">
        <v>4.0</v>
      </c>
      <c r="S1145" s="2"/>
      <c r="T1145" s="3"/>
      <c r="V1145" s="14">
        <v>4.0</v>
      </c>
      <c r="W1145" s="2"/>
      <c r="X1145" s="3"/>
      <c r="Y1145" s="39">
        <v>7.0</v>
      </c>
      <c r="Z1145" s="2"/>
      <c r="AA1145" s="3"/>
      <c r="AC1145" s="14">
        <v>5.0</v>
      </c>
      <c r="AD1145" s="2"/>
      <c r="AE1145" s="3"/>
      <c r="AF1145" s="39">
        <v>4.0</v>
      </c>
      <c r="AG1145" s="2"/>
      <c r="AH1145" s="3"/>
    </row>
    <row r="1146" ht="12.0" customHeight="1">
      <c r="A1146" s="66"/>
      <c r="B1146" s="61" t="s">
        <v>69</v>
      </c>
      <c r="C1146" s="62" t="s">
        <v>70</v>
      </c>
      <c r="D1146" s="94"/>
      <c r="E1146" s="95" t="s">
        <v>69</v>
      </c>
      <c r="F1146" s="96" t="s">
        <v>70</v>
      </c>
      <c r="H1146" s="66"/>
      <c r="I1146" s="61" t="s">
        <v>69</v>
      </c>
      <c r="J1146" s="62" t="s">
        <v>70</v>
      </c>
      <c r="K1146" s="94"/>
      <c r="L1146" s="95" t="s">
        <v>69</v>
      </c>
      <c r="M1146" s="96" t="s">
        <v>70</v>
      </c>
      <c r="O1146" s="66"/>
      <c r="P1146" s="61" t="s">
        <v>69</v>
      </c>
      <c r="Q1146" s="62" t="s">
        <v>70</v>
      </c>
      <c r="R1146" s="94"/>
      <c r="S1146" s="95" t="s">
        <v>69</v>
      </c>
      <c r="T1146" s="96" t="s">
        <v>70</v>
      </c>
      <c r="V1146" s="66"/>
      <c r="W1146" s="61" t="s">
        <v>69</v>
      </c>
      <c r="X1146" s="62" t="s">
        <v>70</v>
      </c>
      <c r="Y1146" s="94"/>
      <c r="Z1146" s="95" t="s">
        <v>69</v>
      </c>
      <c r="AA1146" s="96" t="s">
        <v>70</v>
      </c>
      <c r="AC1146" s="66"/>
      <c r="AD1146" s="61" t="s">
        <v>69</v>
      </c>
      <c r="AE1146" s="62" t="s">
        <v>70</v>
      </c>
      <c r="AF1146" s="94"/>
      <c r="AG1146" s="95" t="s">
        <v>69</v>
      </c>
      <c r="AH1146" s="96" t="s">
        <v>70</v>
      </c>
    </row>
    <row r="1147" ht="14.25" customHeight="1">
      <c r="A1147" s="67" t="s">
        <v>10</v>
      </c>
      <c r="B1147" s="68"/>
      <c r="C1147" s="69">
        <v>2.0</v>
      </c>
      <c r="D1147" s="97" t="s">
        <v>7</v>
      </c>
      <c r="E1147" s="98">
        <v>1.0</v>
      </c>
      <c r="F1147" s="99">
        <v>3.0</v>
      </c>
      <c r="H1147" s="67" t="s">
        <v>10</v>
      </c>
      <c r="I1147" s="68"/>
      <c r="J1147" s="69">
        <v>3.0</v>
      </c>
      <c r="K1147" s="97" t="s">
        <v>278</v>
      </c>
      <c r="L1147" s="98">
        <v>1.0</v>
      </c>
      <c r="M1147" s="99">
        <v>2.0</v>
      </c>
      <c r="O1147" s="67" t="s">
        <v>7</v>
      </c>
      <c r="P1147" s="68">
        <v>1.0</v>
      </c>
      <c r="Q1147" s="69">
        <v>1.0</v>
      </c>
      <c r="R1147" s="97" t="s">
        <v>10</v>
      </c>
      <c r="S1147" s="98"/>
      <c r="T1147" s="99">
        <v>1.0</v>
      </c>
      <c r="V1147" s="67" t="s">
        <v>296</v>
      </c>
      <c r="W1147" s="68">
        <v>1.0</v>
      </c>
      <c r="X1147" s="69"/>
      <c r="Y1147" s="97" t="s">
        <v>10</v>
      </c>
      <c r="Z1147" s="98">
        <v>3.0</v>
      </c>
      <c r="AA1147" s="99"/>
      <c r="AC1147" s="67" t="s">
        <v>10</v>
      </c>
      <c r="AD1147" s="68"/>
      <c r="AE1147" s="69">
        <v>1.0</v>
      </c>
      <c r="AF1147" s="97" t="s">
        <v>278</v>
      </c>
      <c r="AG1147" s="98">
        <v>2.0</v>
      </c>
      <c r="AH1147" s="99"/>
    </row>
    <row r="1148" ht="14.25" customHeight="1">
      <c r="A1148" s="72" t="s">
        <v>5</v>
      </c>
      <c r="B1148" s="73"/>
      <c r="C1148" s="69">
        <v>2.0</v>
      </c>
      <c r="D1148" s="100" t="s">
        <v>18</v>
      </c>
      <c r="E1148" s="101">
        <v>3.0</v>
      </c>
      <c r="F1148" s="102"/>
      <c r="H1148" s="72" t="s">
        <v>20</v>
      </c>
      <c r="I1148" s="73"/>
      <c r="J1148" s="69">
        <v>1.0</v>
      </c>
      <c r="K1148" s="100" t="s">
        <v>18</v>
      </c>
      <c r="L1148" s="101">
        <v>1.0</v>
      </c>
      <c r="M1148" s="102"/>
      <c r="O1148" s="72" t="s">
        <v>278</v>
      </c>
      <c r="P1148" s="73">
        <v>1.0</v>
      </c>
      <c r="Q1148" s="69"/>
      <c r="R1148" s="100" t="s">
        <v>5</v>
      </c>
      <c r="S1148" s="101"/>
      <c r="T1148" s="102">
        <v>1.0</v>
      </c>
      <c r="V1148" s="72" t="s">
        <v>18</v>
      </c>
      <c r="W1148" s="73">
        <v>1.0</v>
      </c>
      <c r="X1148" s="69"/>
      <c r="Y1148" s="100" t="s">
        <v>263</v>
      </c>
      <c r="Z1148" s="101"/>
      <c r="AA1148" s="102">
        <v>3.0</v>
      </c>
      <c r="AC1148" s="72" t="s">
        <v>7</v>
      </c>
      <c r="AD1148" s="73"/>
      <c r="AE1148" s="69">
        <v>2.0</v>
      </c>
      <c r="AF1148" s="100" t="s">
        <v>14</v>
      </c>
      <c r="AG1148" s="101"/>
      <c r="AH1148" s="102">
        <v>1.0</v>
      </c>
    </row>
    <row r="1149" ht="14.25" customHeight="1">
      <c r="A1149" s="72" t="s">
        <v>278</v>
      </c>
      <c r="B1149" s="73">
        <v>5.0</v>
      </c>
      <c r="C1149" s="69">
        <v>1.0</v>
      </c>
      <c r="D1149" s="100" t="s">
        <v>166</v>
      </c>
      <c r="E1149" s="101"/>
      <c r="F1149" s="102">
        <v>1.0</v>
      </c>
      <c r="H1149" s="72" t="s">
        <v>363</v>
      </c>
      <c r="I1149" s="73"/>
      <c r="J1149" s="69"/>
      <c r="K1149" s="100" t="s">
        <v>5</v>
      </c>
      <c r="L1149" s="101">
        <v>1.0</v>
      </c>
      <c r="M1149" s="102">
        <v>3.0</v>
      </c>
      <c r="O1149" s="72" t="s">
        <v>363</v>
      </c>
      <c r="P1149" s="73">
        <v>1.0</v>
      </c>
      <c r="Q1149" s="69"/>
      <c r="R1149" s="100" t="s">
        <v>18</v>
      </c>
      <c r="S1149" s="101"/>
      <c r="T1149" s="102">
        <v>1.0</v>
      </c>
      <c r="V1149" s="72" t="s">
        <v>14</v>
      </c>
      <c r="W1149" s="73"/>
      <c r="X1149" s="69">
        <v>2.0</v>
      </c>
      <c r="Y1149" s="100" t="s">
        <v>278</v>
      </c>
      <c r="Z1149" s="101">
        <v>2.0</v>
      </c>
      <c r="AA1149" s="102"/>
      <c r="AC1149" s="72" t="s">
        <v>166</v>
      </c>
      <c r="AD1149" s="73">
        <v>4.0</v>
      </c>
      <c r="AE1149" s="69"/>
      <c r="AF1149" s="100" t="s">
        <v>20</v>
      </c>
      <c r="AG1149" s="101"/>
      <c r="AH1149" s="102">
        <v>2.0</v>
      </c>
    </row>
    <row r="1150" ht="14.25" customHeight="1">
      <c r="A1150" s="72" t="s">
        <v>153</v>
      </c>
      <c r="B1150" s="73"/>
      <c r="C1150" s="69">
        <v>1.0</v>
      </c>
      <c r="D1150" s="100" t="s">
        <v>4</v>
      </c>
      <c r="E1150" s="101">
        <v>1.0</v>
      </c>
      <c r="F1150" s="102">
        <v>2.0</v>
      </c>
      <c r="H1150" s="72" t="s">
        <v>210</v>
      </c>
      <c r="I1150" s="73">
        <v>2.0</v>
      </c>
      <c r="J1150" s="69"/>
      <c r="K1150" s="100" t="s">
        <v>166</v>
      </c>
      <c r="L1150" s="101">
        <v>3.0</v>
      </c>
      <c r="M1150" s="102"/>
      <c r="O1150" s="72" t="s">
        <v>4</v>
      </c>
      <c r="P1150" s="73"/>
      <c r="Q1150" s="69"/>
      <c r="R1150" s="100" t="s">
        <v>17</v>
      </c>
      <c r="S1150" s="101">
        <v>1.0</v>
      </c>
      <c r="T1150" s="102"/>
      <c r="V1150" s="72" t="s">
        <v>17</v>
      </c>
      <c r="W1150" s="73"/>
      <c r="X1150" s="69">
        <v>1.0</v>
      </c>
      <c r="Y1150" s="100" t="s">
        <v>166</v>
      </c>
      <c r="Z1150" s="101">
        <v>1.0</v>
      </c>
      <c r="AA1150" s="102">
        <v>1.0</v>
      </c>
      <c r="AC1150" s="72" t="s">
        <v>5</v>
      </c>
      <c r="AD1150" s="73">
        <v>1.0</v>
      </c>
      <c r="AE1150" s="69">
        <v>1.0</v>
      </c>
      <c r="AF1150" s="100" t="s">
        <v>4</v>
      </c>
      <c r="AG1150" s="101"/>
      <c r="AH1150" s="102"/>
    </row>
    <row r="1151" ht="14.25" customHeight="1">
      <c r="A1151" s="77" t="s">
        <v>9</v>
      </c>
      <c r="B1151" s="78">
        <v>1.0</v>
      </c>
      <c r="C1151" s="82"/>
      <c r="D1151" s="103" t="s">
        <v>296</v>
      </c>
      <c r="E1151" s="104">
        <v>1.0</v>
      </c>
      <c r="F1151" s="105"/>
      <c r="H1151" s="77" t="s">
        <v>7</v>
      </c>
      <c r="I1151" s="78">
        <v>2.0</v>
      </c>
      <c r="J1151" s="82"/>
      <c r="K1151" s="103" t="s">
        <v>14</v>
      </c>
      <c r="L1151" s="104">
        <v>1.0</v>
      </c>
      <c r="M1151" s="105"/>
      <c r="O1151" s="77" t="s">
        <v>20</v>
      </c>
      <c r="P1151" s="78"/>
      <c r="Q1151" s="82"/>
      <c r="R1151" s="103" t="s">
        <v>166</v>
      </c>
      <c r="S1151" s="104">
        <v>3.0</v>
      </c>
      <c r="T1151" s="105">
        <v>1.0</v>
      </c>
      <c r="V1151" s="77" t="s">
        <v>5</v>
      </c>
      <c r="W1151" s="78">
        <v>1.0</v>
      </c>
      <c r="X1151" s="82"/>
      <c r="Y1151" s="103" t="s">
        <v>7</v>
      </c>
      <c r="Z1151" s="104">
        <v>1.0</v>
      </c>
      <c r="AA1151" s="105">
        <v>2.0</v>
      </c>
      <c r="AC1151" s="77" t="s">
        <v>17</v>
      </c>
      <c r="AD1151" s="78"/>
      <c r="AE1151" s="82">
        <v>1.0</v>
      </c>
      <c r="AF1151" s="100" t="s">
        <v>18</v>
      </c>
      <c r="AG1151" s="101">
        <v>2.0</v>
      </c>
      <c r="AH1151" s="102"/>
    </row>
    <row r="1152" ht="14.25" customHeight="1">
      <c r="K1152" s="103" t="s">
        <v>144</v>
      </c>
      <c r="L1152" s="104">
        <v>1.0</v>
      </c>
      <c r="V1152" s="77" t="s">
        <v>281</v>
      </c>
      <c r="W1152" s="78">
        <v>1.0</v>
      </c>
    </row>
    <row r="1153" ht="14.25" customHeight="1"/>
    <row r="1154" ht="14.25" customHeight="1"/>
    <row r="1155" ht="14.25" customHeight="1">
      <c r="D1155" s="51" t="s">
        <v>364</v>
      </c>
      <c r="E1155" s="2"/>
      <c r="F1155" s="2"/>
      <c r="G1155" s="2"/>
      <c r="H1155" s="3"/>
      <c r="V1155" s="55" t="s">
        <v>3</v>
      </c>
      <c r="W1155" s="2"/>
      <c r="X1155" s="3"/>
      <c r="Y1155" s="56">
        <f>A1145+D1145+H1145+K1145+O1145+R1145+V1145+Y1145+AC1145+AF1145</f>
        <v>51</v>
      </c>
      <c r="Z1155" s="3"/>
    </row>
    <row r="1156" ht="14.25" customHeight="1"/>
    <row r="1157" ht="14.25" customHeight="1">
      <c r="D1157" s="52" t="s">
        <v>203</v>
      </c>
      <c r="E1157" s="52">
        <v>11.0</v>
      </c>
      <c r="H1157" s="52" t="s">
        <v>36</v>
      </c>
      <c r="I1157" s="52">
        <v>1.0</v>
      </c>
    </row>
    <row r="1158" ht="14.25" customHeight="1">
      <c r="D1158" s="52" t="s">
        <v>277</v>
      </c>
      <c r="E1158" s="52">
        <v>11.0</v>
      </c>
      <c r="H1158" s="52" t="s">
        <v>49</v>
      </c>
      <c r="I1158" s="52">
        <v>1.0</v>
      </c>
    </row>
    <row r="1159" ht="14.25" customHeight="1">
      <c r="D1159" s="52" t="s">
        <v>91</v>
      </c>
      <c r="E1159" s="52">
        <v>7.0</v>
      </c>
      <c r="H1159" s="52" t="s">
        <v>134</v>
      </c>
      <c r="I1159" s="52">
        <v>1.0</v>
      </c>
    </row>
    <row r="1160" ht="14.25" customHeight="1">
      <c r="D1160" s="52" t="s">
        <v>29</v>
      </c>
      <c r="E1160" s="52">
        <v>5.0</v>
      </c>
      <c r="H1160" s="52" t="s">
        <v>365</v>
      </c>
      <c r="I1160" s="52">
        <v>1.0</v>
      </c>
    </row>
    <row r="1161" ht="14.25" customHeight="1">
      <c r="D1161" s="52" t="s">
        <v>82</v>
      </c>
      <c r="E1161" s="52">
        <v>3.0</v>
      </c>
      <c r="H1161" s="52" t="s">
        <v>61</v>
      </c>
      <c r="I1161" s="52">
        <v>1.0</v>
      </c>
    </row>
    <row r="1162" ht="14.25" customHeight="1">
      <c r="D1162" s="52" t="s">
        <v>8</v>
      </c>
      <c r="E1162" s="52">
        <v>3.0</v>
      </c>
    </row>
    <row r="1163" ht="14.25" customHeight="1">
      <c r="D1163" s="52" t="s">
        <v>289</v>
      </c>
      <c r="E1163" s="52">
        <v>2.0</v>
      </c>
      <c r="H1163" s="52" t="s">
        <v>144</v>
      </c>
      <c r="I1163" s="52">
        <v>1.0</v>
      </c>
    </row>
    <row r="1164" ht="14.25" customHeight="1">
      <c r="D1164" s="52" t="s">
        <v>297</v>
      </c>
      <c r="E1164" s="52">
        <v>2.0</v>
      </c>
      <c r="H1164" s="52" t="s">
        <v>281</v>
      </c>
      <c r="I1164" s="52">
        <v>1.0</v>
      </c>
    </row>
    <row r="1165" ht="14.25" customHeight="1"/>
    <row r="1166" ht="14.25" customHeight="1"/>
    <row r="1167" ht="14.25" customHeight="1">
      <c r="P1167" s="8">
        <v>45778.0</v>
      </c>
      <c r="Q1167" s="2"/>
      <c r="R1167" s="2"/>
      <c r="S1167" s="3"/>
    </row>
    <row r="1168" ht="14.25" customHeight="1">
      <c r="D1168" s="225"/>
      <c r="R1168" s="225"/>
      <c r="Y1168" s="225"/>
    </row>
    <row r="1169" ht="14.25" customHeight="1">
      <c r="A1169" s="9">
        <v>34.0</v>
      </c>
      <c r="B1169" s="10">
        <v>45783.0</v>
      </c>
      <c r="C1169" s="2"/>
      <c r="D1169" s="2"/>
      <c r="E1169" s="2"/>
      <c r="F1169" s="3"/>
      <c r="H1169" s="9">
        <v>35.0</v>
      </c>
      <c r="I1169" s="10">
        <v>45790.0</v>
      </c>
      <c r="J1169" s="2"/>
      <c r="K1169" s="2"/>
      <c r="L1169" s="2"/>
      <c r="M1169" s="3"/>
      <c r="O1169" s="9">
        <v>36.0</v>
      </c>
      <c r="P1169" s="10">
        <v>45797.0</v>
      </c>
      <c r="Q1169" s="2"/>
      <c r="R1169" s="2"/>
      <c r="S1169" s="2"/>
      <c r="T1169" s="3"/>
      <c r="V1169" s="9">
        <v>37.0</v>
      </c>
      <c r="W1169" s="10">
        <v>45804.0</v>
      </c>
      <c r="X1169" s="2"/>
      <c r="Y1169" s="2"/>
      <c r="Z1169" s="2"/>
      <c r="AA1169" s="3"/>
      <c r="AC1169" s="51" t="s">
        <v>366</v>
      </c>
      <c r="AD1169" s="2"/>
      <c r="AE1169" s="2"/>
      <c r="AF1169" s="2"/>
      <c r="AG1169" s="3"/>
    </row>
    <row r="1170" ht="14.25" customHeight="1">
      <c r="A1170" s="14">
        <v>7.0</v>
      </c>
      <c r="B1170" s="2"/>
      <c r="C1170" s="3"/>
      <c r="D1170" s="39">
        <v>5.0</v>
      </c>
      <c r="E1170" s="2"/>
      <c r="F1170" s="3"/>
      <c r="H1170" s="14">
        <v>7.0</v>
      </c>
      <c r="I1170" s="2"/>
      <c r="J1170" s="3"/>
      <c r="K1170" s="39">
        <v>3.0</v>
      </c>
      <c r="L1170" s="2"/>
      <c r="M1170" s="3"/>
      <c r="O1170" s="14">
        <v>4.0</v>
      </c>
      <c r="P1170" s="2"/>
      <c r="Q1170" s="3"/>
      <c r="R1170" s="39">
        <v>5.0</v>
      </c>
      <c r="S1170" s="2"/>
      <c r="T1170" s="3"/>
      <c r="V1170" s="14">
        <v>6.0</v>
      </c>
      <c r="W1170" s="2"/>
      <c r="X1170" s="3"/>
      <c r="Y1170" s="39">
        <v>5.0</v>
      </c>
      <c r="Z1170" s="2"/>
      <c r="AA1170" s="3"/>
    </row>
    <row r="1171" ht="12.0" customHeight="1">
      <c r="A1171" s="60"/>
      <c r="B1171" s="61" t="s">
        <v>69</v>
      </c>
      <c r="C1171" s="62" t="s">
        <v>70</v>
      </c>
      <c r="D1171" s="94"/>
      <c r="E1171" s="95" t="s">
        <v>69</v>
      </c>
      <c r="F1171" s="96" t="s">
        <v>70</v>
      </c>
      <c r="H1171" s="60"/>
      <c r="I1171" s="61" t="s">
        <v>69</v>
      </c>
      <c r="J1171" s="62" t="s">
        <v>70</v>
      </c>
      <c r="K1171" s="94"/>
      <c r="L1171" s="95" t="s">
        <v>69</v>
      </c>
      <c r="M1171" s="96" t="s">
        <v>70</v>
      </c>
      <c r="O1171" s="66"/>
      <c r="P1171" s="61" t="s">
        <v>69</v>
      </c>
      <c r="Q1171" s="62" t="s">
        <v>70</v>
      </c>
      <c r="R1171" s="94"/>
      <c r="S1171" s="95" t="s">
        <v>69</v>
      </c>
      <c r="T1171" s="96" t="s">
        <v>70</v>
      </c>
      <c r="V1171" s="66"/>
      <c r="W1171" s="61" t="s">
        <v>69</v>
      </c>
      <c r="X1171" s="62" t="s">
        <v>70</v>
      </c>
      <c r="Y1171" s="94"/>
      <c r="Z1171" s="95" t="s">
        <v>69</v>
      </c>
      <c r="AA1171" s="96" t="s">
        <v>70</v>
      </c>
      <c r="AC1171" s="52" t="s">
        <v>277</v>
      </c>
      <c r="AD1171" s="52">
        <v>7.0</v>
      </c>
      <c r="AF1171" s="52" t="s">
        <v>61</v>
      </c>
      <c r="AG1171" s="52">
        <v>3.0</v>
      </c>
    </row>
    <row r="1172" ht="14.25" customHeight="1">
      <c r="A1172" s="67" t="s">
        <v>296</v>
      </c>
      <c r="B1172" s="68">
        <v>1.0</v>
      </c>
      <c r="C1172" s="69">
        <v>1.0</v>
      </c>
      <c r="D1172" s="97" t="s">
        <v>278</v>
      </c>
      <c r="E1172" s="98">
        <v>3.0</v>
      </c>
      <c r="F1172" s="99"/>
      <c r="H1172" s="67" t="s">
        <v>5</v>
      </c>
      <c r="I1172" s="68">
        <v>1.0</v>
      </c>
      <c r="J1172" s="69">
        <v>2.0</v>
      </c>
      <c r="K1172" s="97" t="s">
        <v>210</v>
      </c>
      <c r="L1172" s="98"/>
      <c r="M1172" s="99"/>
      <c r="O1172" s="67" t="s">
        <v>5</v>
      </c>
      <c r="P1172" s="68">
        <v>3.0</v>
      </c>
      <c r="Q1172" s="69"/>
      <c r="R1172" s="97" t="s">
        <v>166</v>
      </c>
      <c r="S1172" s="98">
        <v>1.0</v>
      </c>
      <c r="T1172" s="99"/>
      <c r="V1172" s="67" t="s">
        <v>5</v>
      </c>
      <c r="W1172" s="68">
        <v>2.0</v>
      </c>
      <c r="X1172" s="69"/>
      <c r="Y1172" s="97" t="s">
        <v>166</v>
      </c>
      <c r="Z1172" s="98">
        <v>3.0</v>
      </c>
      <c r="AA1172" s="99"/>
      <c r="AC1172" s="52" t="s">
        <v>8</v>
      </c>
      <c r="AD1172" s="52">
        <v>7.0</v>
      </c>
      <c r="AF1172" s="52" t="s">
        <v>365</v>
      </c>
      <c r="AG1172" s="52">
        <v>3.0</v>
      </c>
    </row>
    <row r="1173" ht="14.25" customHeight="1">
      <c r="A1173" s="72" t="s">
        <v>20</v>
      </c>
      <c r="B1173" s="73">
        <v>2.0</v>
      </c>
      <c r="C1173" s="69"/>
      <c r="D1173" s="100" t="s">
        <v>7</v>
      </c>
      <c r="E1173" s="101">
        <v>1.0</v>
      </c>
      <c r="F1173" s="102"/>
      <c r="H1173" s="72" t="s">
        <v>7</v>
      </c>
      <c r="I1173" s="73">
        <v>1.0</v>
      </c>
      <c r="J1173" s="69">
        <v>2.0</v>
      </c>
      <c r="K1173" s="100" t="s">
        <v>10</v>
      </c>
      <c r="L1173" s="101"/>
      <c r="M1173" s="102">
        <v>1.0</v>
      </c>
      <c r="O1173" s="72" t="s">
        <v>7</v>
      </c>
      <c r="P1173" s="73"/>
      <c r="Q1173" s="69"/>
      <c r="R1173" s="100" t="s">
        <v>4</v>
      </c>
      <c r="S1173" s="101">
        <v>1.0</v>
      </c>
      <c r="T1173" s="102"/>
      <c r="V1173" s="72" t="s">
        <v>7</v>
      </c>
      <c r="W1173" s="73">
        <v>2.0</v>
      </c>
      <c r="X1173" s="69">
        <v>1.0</v>
      </c>
      <c r="Y1173" s="100" t="s">
        <v>278</v>
      </c>
      <c r="Z1173" s="101">
        <v>1.0</v>
      </c>
      <c r="AA1173" s="102">
        <v>1.0</v>
      </c>
      <c r="AC1173" s="52" t="s">
        <v>203</v>
      </c>
      <c r="AD1173" s="52">
        <v>5.0</v>
      </c>
      <c r="AF1173" s="52" t="s">
        <v>297</v>
      </c>
      <c r="AG1173" s="52">
        <v>2.0</v>
      </c>
    </row>
    <row r="1174" ht="14.25" customHeight="1">
      <c r="A1174" s="72" t="s">
        <v>363</v>
      </c>
      <c r="B1174" s="73">
        <v>2.0</v>
      </c>
      <c r="C1174" s="69">
        <v>2.0</v>
      </c>
      <c r="D1174" s="100" t="s">
        <v>166</v>
      </c>
      <c r="E1174" s="101"/>
      <c r="F1174" s="102">
        <v>1.0</v>
      </c>
      <c r="H1174" s="72" t="s">
        <v>18</v>
      </c>
      <c r="I1174" s="73">
        <v>1.0</v>
      </c>
      <c r="J1174" s="69">
        <v>1.0</v>
      </c>
      <c r="K1174" s="100" t="s">
        <v>4</v>
      </c>
      <c r="L1174" s="101">
        <v>2.0</v>
      </c>
      <c r="M1174" s="102"/>
      <c r="O1174" s="72" t="s">
        <v>10</v>
      </c>
      <c r="P1174" s="73"/>
      <c r="Q1174" s="69">
        <v>1.0</v>
      </c>
      <c r="R1174" s="100" t="s">
        <v>296</v>
      </c>
      <c r="S1174" s="101">
        <v>1.0</v>
      </c>
      <c r="T1174" s="102"/>
      <c r="V1174" s="72" t="s">
        <v>10</v>
      </c>
      <c r="W1174" s="73"/>
      <c r="X1174" s="69"/>
      <c r="Y1174" s="100" t="s">
        <v>296</v>
      </c>
      <c r="Z1174" s="101"/>
      <c r="AA1174" s="102"/>
      <c r="AC1174" s="52" t="s">
        <v>38</v>
      </c>
      <c r="AD1174" s="52">
        <v>4.0</v>
      </c>
      <c r="AF1174" s="52" t="s">
        <v>91</v>
      </c>
      <c r="AG1174" s="52">
        <v>1.0</v>
      </c>
    </row>
    <row r="1175" ht="14.25" customHeight="1">
      <c r="A1175" s="72" t="s">
        <v>5</v>
      </c>
      <c r="B1175" s="73">
        <v>2.0</v>
      </c>
      <c r="C1175" s="69">
        <v>2.0</v>
      </c>
      <c r="D1175" s="100" t="s">
        <v>18</v>
      </c>
      <c r="E1175" s="101"/>
      <c r="F1175" s="102">
        <v>3.0</v>
      </c>
      <c r="H1175" s="72" t="s">
        <v>278</v>
      </c>
      <c r="I1175" s="73">
        <v>3.0</v>
      </c>
      <c r="J1175" s="69">
        <v>2.0</v>
      </c>
      <c r="K1175" s="100" t="s">
        <v>166</v>
      </c>
      <c r="L1175" s="101">
        <v>1.0</v>
      </c>
      <c r="M1175" s="102"/>
      <c r="O1175" s="72" t="s">
        <v>14</v>
      </c>
      <c r="P1175" s="73"/>
      <c r="Q1175" s="69"/>
      <c r="R1175" s="100" t="s">
        <v>17</v>
      </c>
      <c r="S1175" s="101">
        <v>1.0</v>
      </c>
      <c r="T1175" s="102">
        <v>1.0</v>
      </c>
      <c r="V1175" s="72" t="s">
        <v>363</v>
      </c>
      <c r="W1175" s="73">
        <v>1.0</v>
      </c>
      <c r="X1175" s="69">
        <v>1.0</v>
      </c>
      <c r="Y1175" s="100" t="s">
        <v>17</v>
      </c>
      <c r="Z1175" s="101"/>
      <c r="AA1175" s="102">
        <v>2.0</v>
      </c>
      <c r="AC1175" s="52" t="s">
        <v>29</v>
      </c>
      <c r="AD1175" s="52">
        <v>4.0</v>
      </c>
    </row>
    <row r="1176" ht="14.25" customHeight="1">
      <c r="A1176" s="77" t="s">
        <v>10</v>
      </c>
      <c r="B1176" s="78"/>
      <c r="C1176" s="82">
        <v>1.0</v>
      </c>
      <c r="D1176" s="103" t="s">
        <v>4</v>
      </c>
      <c r="E1176" s="104"/>
      <c r="F1176" s="105"/>
      <c r="H1176" s="77" t="s">
        <v>17</v>
      </c>
      <c r="I1176" s="78">
        <v>1.0</v>
      </c>
      <c r="J1176" s="82"/>
      <c r="K1176" s="103" t="s">
        <v>296</v>
      </c>
      <c r="L1176" s="104"/>
      <c r="M1176" s="105">
        <v>1.0</v>
      </c>
      <c r="O1176" s="77" t="s">
        <v>20</v>
      </c>
      <c r="P1176" s="78">
        <v>1.0</v>
      </c>
      <c r="Q1176" s="190"/>
      <c r="R1176" s="103" t="s">
        <v>18</v>
      </c>
      <c r="S1176" s="104"/>
      <c r="T1176" s="105"/>
      <c r="V1176" s="77" t="s">
        <v>20</v>
      </c>
      <c r="W1176" s="78">
        <v>1.0</v>
      </c>
      <c r="X1176" s="190">
        <v>2.0</v>
      </c>
      <c r="Y1176" s="103" t="s">
        <v>18</v>
      </c>
      <c r="Z1176" s="104"/>
      <c r="AA1176" s="105"/>
      <c r="AC1176" s="52" t="s">
        <v>49</v>
      </c>
      <c r="AD1176" s="52">
        <v>3.0</v>
      </c>
    </row>
    <row r="1177" ht="14.25" customHeight="1">
      <c r="D1177" s="103" t="s">
        <v>294</v>
      </c>
      <c r="E1177" s="104">
        <v>1.0</v>
      </c>
      <c r="R1177" s="103" t="s">
        <v>294</v>
      </c>
      <c r="S1177" s="104">
        <v>1.0</v>
      </c>
      <c r="Y1177" s="129" t="s">
        <v>367</v>
      </c>
      <c r="Z1177" s="104">
        <v>1.0</v>
      </c>
      <c r="AF1177" s="52" t="s">
        <v>294</v>
      </c>
      <c r="AG1177" s="52">
        <v>2.0</v>
      </c>
    </row>
    <row r="1178" ht="14.25" customHeight="1">
      <c r="Y1178" s="90"/>
      <c r="Z1178" s="90"/>
      <c r="AD1178" s="48"/>
      <c r="AF1178" s="131" t="s">
        <v>367</v>
      </c>
      <c r="AG1178" s="52">
        <v>1.0</v>
      </c>
    </row>
    <row r="1179" ht="14.25" customHeight="1">
      <c r="Y1179" s="56">
        <f>A1170+D1170+H1170+K1170+O1170+R1170+V1170+Y1170</f>
        <v>42</v>
      </c>
      <c r="Z1179" s="3"/>
      <c r="AG1179" s="48"/>
    </row>
    <row r="1180" ht="14.25" customHeight="1"/>
    <row r="1181" ht="14.25" customHeight="1"/>
    <row r="1182" ht="14.25" customHeight="1">
      <c r="P1182" s="8">
        <v>45809.0</v>
      </c>
      <c r="Q1182" s="2"/>
      <c r="R1182" s="2"/>
      <c r="S1182" s="3"/>
    </row>
    <row r="1183" ht="14.25" customHeight="1">
      <c r="D1183" s="225"/>
      <c r="R1183" s="225"/>
      <c r="Y1183" s="225"/>
    </row>
    <row r="1184" ht="14.25" customHeight="1">
      <c r="A1184" s="9">
        <v>38.0</v>
      </c>
      <c r="B1184" s="10">
        <v>45811.0</v>
      </c>
      <c r="C1184" s="2"/>
      <c r="D1184" s="2"/>
      <c r="E1184" s="2"/>
      <c r="F1184" s="3"/>
      <c r="H1184" s="9">
        <v>39.0</v>
      </c>
      <c r="I1184" s="10">
        <v>45818.0</v>
      </c>
      <c r="J1184" s="2"/>
      <c r="K1184" s="2"/>
      <c r="L1184" s="2"/>
      <c r="M1184" s="3"/>
      <c r="O1184" s="9">
        <v>40.0</v>
      </c>
      <c r="P1184" s="10">
        <v>45825.0</v>
      </c>
      <c r="Q1184" s="2"/>
      <c r="R1184" s="2"/>
      <c r="S1184" s="2"/>
      <c r="T1184" s="3"/>
      <c r="V1184" s="9">
        <v>41.0</v>
      </c>
      <c r="W1184" s="10">
        <v>45832.0</v>
      </c>
      <c r="X1184" s="2"/>
      <c r="Y1184" s="2"/>
      <c r="Z1184" s="2"/>
      <c r="AA1184" s="3"/>
      <c r="AC1184" s="51" t="s">
        <v>368</v>
      </c>
      <c r="AD1184" s="2"/>
      <c r="AE1184" s="2"/>
      <c r="AF1184" s="2"/>
      <c r="AG1184" s="3"/>
    </row>
    <row r="1185" ht="14.25" customHeight="1">
      <c r="A1185" s="14">
        <v>6.0</v>
      </c>
      <c r="B1185" s="2"/>
      <c r="C1185" s="3"/>
      <c r="D1185" s="39">
        <v>6.0</v>
      </c>
      <c r="E1185" s="2"/>
      <c r="F1185" s="3"/>
      <c r="H1185" s="14">
        <v>7.0</v>
      </c>
      <c r="I1185" s="2"/>
      <c r="J1185" s="3"/>
      <c r="K1185" s="39">
        <v>8.0</v>
      </c>
      <c r="L1185" s="2"/>
      <c r="M1185" s="3"/>
      <c r="O1185" s="14">
        <v>1.0</v>
      </c>
      <c r="P1185" s="2"/>
      <c r="Q1185" s="3"/>
      <c r="R1185" s="39">
        <v>3.0</v>
      </c>
      <c r="S1185" s="2"/>
      <c r="T1185" s="3"/>
      <c r="V1185" s="14">
        <v>7.0</v>
      </c>
      <c r="W1185" s="2"/>
      <c r="X1185" s="3"/>
      <c r="Y1185" s="39">
        <v>4.0</v>
      </c>
      <c r="Z1185" s="2"/>
      <c r="AA1185" s="3"/>
    </row>
    <row r="1186" ht="12.0" customHeight="1">
      <c r="A1186" s="60"/>
      <c r="B1186" s="61" t="s">
        <v>69</v>
      </c>
      <c r="C1186" s="62" t="s">
        <v>70</v>
      </c>
      <c r="D1186" s="94"/>
      <c r="E1186" s="95" t="s">
        <v>69</v>
      </c>
      <c r="F1186" s="96" t="s">
        <v>70</v>
      </c>
      <c r="H1186" s="60"/>
      <c r="I1186" s="61" t="s">
        <v>69</v>
      </c>
      <c r="J1186" s="62" t="s">
        <v>70</v>
      </c>
      <c r="K1186" s="94"/>
      <c r="L1186" s="95" t="s">
        <v>69</v>
      </c>
      <c r="M1186" s="96" t="s">
        <v>70</v>
      </c>
      <c r="O1186" s="66"/>
      <c r="P1186" s="61" t="s">
        <v>69</v>
      </c>
      <c r="Q1186" s="62" t="s">
        <v>70</v>
      </c>
      <c r="R1186" s="94"/>
      <c r="S1186" s="95" t="s">
        <v>69</v>
      </c>
      <c r="T1186" s="96" t="s">
        <v>70</v>
      </c>
      <c r="V1186" s="66"/>
      <c r="W1186" s="61" t="s">
        <v>69</v>
      </c>
      <c r="X1186" s="62" t="s">
        <v>70</v>
      </c>
      <c r="Y1186" s="94"/>
      <c r="Z1186" s="95" t="s">
        <v>69</v>
      </c>
      <c r="AA1186" s="96" t="s">
        <v>70</v>
      </c>
      <c r="AC1186" s="52" t="s">
        <v>8</v>
      </c>
      <c r="AD1186" s="52">
        <v>7.0</v>
      </c>
      <c r="AF1186" s="52" t="s">
        <v>38</v>
      </c>
      <c r="AG1186" s="52">
        <v>2.0</v>
      </c>
    </row>
    <row r="1187" ht="14.25" customHeight="1">
      <c r="A1187" s="67" t="s">
        <v>18</v>
      </c>
      <c r="B1187" s="68"/>
      <c r="C1187" s="69"/>
      <c r="D1187" s="97" t="s">
        <v>10</v>
      </c>
      <c r="E1187" s="98">
        <v>2.0</v>
      </c>
      <c r="F1187" s="99"/>
      <c r="H1187" s="67" t="s">
        <v>10</v>
      </c>
      <c r="I1187" s="68"/>
      <c r="J1187" s="69">
        <v>2.0</v>
      </c>
      <c r="K1187" s="97" t="s">
        <v>14</v>
      </c>
      <c r="L1187" s="98">
        <v>2.0</v>
      </c>
      <c r="M1187" s="99">
        <v>3.0</v>
      </c>
      <c r="O1187" s="67" t="s">
        <v>5</v>
      </c>
      <c r="P1187" s="68"/>
      <c r="Q1187" s="69"/>
      <c r="R1187" s="97" t="s">
        <v>4</v>
      </c>
      <c r="S1187" s="98">
        <v>1.0</v>
      </c>
      <c r="T1187" s="99">
        <v>1.0</v>
      </c>
      <c r="V1187" s="67" t="s">
        <v>4</v>
      </c>
      <c r="W1187" s="68">
        <v>2.0</v>
      </c>
      <c r="X1187" s="69">
        <v>1.0</v>
      </c>
      <c r="Y1187" s="97" t="s">
        <v>5</v>
      </c>
      <c r="Z1187" s="98">
        <v>2.0</v>
      </c>
      <c r="AA1187" s="99"/>
      <c r="AC1187" s="52" t="s">
        <v>277</v>
      </c>
      <c r="AD1187" s="52">
        <v>7.0</v>
      </c>
      <c r="AF1187" s="52" t="s">
        <v>203</v>
      </c>
      <c r="AG1187" s="52">
        <v>2.0</v>
      </c>
    </row>
    <row r="1188" ht="14.25" customHeight="1">
      <c r="A1188" s="72" t="s">
        <v>20</v>
      </c>
      <c r="B1188" s="73">
        <v>2.0</v>
      </c>
      <c r="C1188" s="69">
        <v>1.0</v>
      </c>
      <c r="D1188" s="100" t="s">
        <v>17</v>
      </c>
      <c r="E1188" s="101">
        <v>1.0</v>
      </c>
      <c r="F1188" s="102"/>
      <c r="H1188" s="72" t="s">
        <v>7</v>
      </c>
      <c r="I1188" s="73">
        <v>1.0</v>
      </c>
      <c r="J1188" s="69">
        <v>1.0</v>
      </c>
      <c r="K1188" s="100" t="s">
        <v>18</v>
      </c>
      <c r="L1188" s="101">
        <v>1.0</v>
      </c>
      <c r="M1188" s="102">
        <v>1.0</v>
      </c>
      <c r="O1188" s="72" t="s">
        <v>17</v>
      </c>
      <c r="P1188" s="73"/>
      <c r="Q1188" s="69"/>
      <c r="R1188" s="100" t="s">
        <v>10</v>
      </c>
      <c r="S1188" s="101">
        <v>1.0</v>
      </c>
      <c r="T1188" s="102"/>
      <c r="V1188" s="72" t="s">
        <v>20</v>
      </c>
      <c r="W1188" s="73"/>
      <c r="X1188" s="69"/>
      <c r="Y1188" s="100" t="s">
        <v>166</v>
      </c>
      <c r="Z1188" s="101"/>
      <c r="AA1188" s="102"/>
      <c r="AC1188" s="52" t="s">
        <v>82</v>
      </c>
      <c r="AD1188" s="52">
        <v>4.0</v>
      </c>
      <c r="AF1188" s="52" t="s">
        <v>29</v>
      </c>
      <c r="AG1188" s="52">
        <v>2.0</v>
      </c>
    </row>
    <row r="1189" ht="14.25" customHeight="1">
      <c r="A1189" s="72" t="s">
        <v>296</v>
      </c>
      <c r="B1189" s="73">
        <v>1.0</v>
      </c>
      <c r="C1189" s="69"/>
      <c r="D1189" s="100" t="s">
        <v>166</v>
      </c>
      <c r="E1189" s="101">
        <v>1.0</v>
      </c>
      <c r="F1189" s="102">
        <v>2.0</v>
      </c>
      <c r="H1189" s="72" t="s">
        <v>166</v>
      </c>
      <c r="I1189" s="73">
        <v>1.0</v>
      </c>
      <c r="J1189" s="69">
        <v>1.0</v>
      </c>
      <c r="K1189" s="100" t="s">
        <v>369</v>
      </c>
      <c r="L1189" s="101">
        <v>2.0</v>
      </c>
      <c r="M1189" s="102"/>
      <c r="O1189" s="72" t="s">
        <v>363</v>
      </c>
      <c r="P1189" s="73">
        <v>1.0</v>
      </c>
      <c r="Q1189" s="69"/>
      <c r="R1189" s="100" t="s">
        <v>7</v>
      </c>
      <c r="S1189" s="101"/>
      <c r="T1189" s="102"/>
      <c r="V1189" s="72" t="s">
        <v>278</v>
      </c>
      <c r="W1189" s="73">
        <v>3.0</v>
      </c>
      <c r="X1189" s="69"/>
      <c r="Y1189" s="100" t="s">
        <v>296</v>
      </c>
      <c r="Z1189" s="101"/>
      <c r="AA1189" s="102"/>
      <c r="AC1189" s="52" t="s">
        <v>49</v>
      </c>
      <c r="AD1189" s="52">
        <v>4.0</v>
      </c>
      <c r="AF1189" s="52" t="s">
        <v>91</v>
      </c>
      <c r="AG1189" s="52">
        <v>2.0</v>
      </c>
    </row>
    <row r="1190" ht="14.25" customHeight="1">
      <c r="A1190" s="72" t="s">
        <v>278</v>
      </c>
      <c r="B1190" s="73">
        <v>1.0</v>
      </c>
      <c r="C1190" s="69"/>
      <c r="D1190" s="100" t="s">
        <v>7</v>
      </c>
      <c r="E1190" s="101"/>
      <c r="F1190" s="102">
        <v>1.0</v>
      </c>
      <c r="H1190" s="72" t="s">
        <v>363</v>
      </c>
      <c r="I1190" s="73">
        <v>2.0</v>
      </c>
      <c r="J1190" s="69">
        <v>1.0</v>
      </c>
      <c r="K1190" s="100" t="s">
        <v>20</v>
      </c>
      <c r="L1190" s="101"/>
      <c r="M1190" s="102">
        <v>1.0</v>
      </c>
      <c r="O1190" s="72" t="s">
        <v>18</v>
      </c>
      <c r="P1190" s="73"/>
      <c r="Q1190" s="69"/>
      <c r="R1190" s="100" t="s">
        <v>39</v>
      </c>
      <c r="S1190" s="101">
        <v>1.0</v>
      </c>
      <c r="T1190" s="102"/>
      <c r="V1190" s="72" t="s">
        <v>10</v>
      </c>
      <c r="W1190" s="73">
        <v>1.0</v>
      </c>
      <c r="X1190" s="69">
        <v>3.0</v>
      </c>
      <c r="Y1190" s="100" t="s">
        <v>153</v>
      </c>
      <c r="Z1190" s="101">
        <v>1.0</v>
      </c>
      <c r="AA1190" s="102">
        <v>1.0</v>
      </c>
      <c r="AC1190" s="52" t="s">
        <v>297</v>
      </c>
      <c r="AD1190" s="52">
        <v>3.0</v>
      </c>
      <c r="AF1190" s="52" t="s">
        <v>61</v>
      </c>
      <c r="AG1190" s="52">
        <v>1.0</v>
      </c>
    </row>
    <row r="1191" ht="14.25" customHeight="1">
      <c r="A1191" s="77" t="s">
        <v>4</v>
      </c>
      <c r="B1191" s="78">
        <v>1.0</v>
      </c>
      <c r="C1191" s="82"/>
      <c r="D1191" s="103" t="s">
        <v>5</v>
      </c>
      <c r="E1191" s="104">
        <v>2.0</v>
      </c>
      <c r="F1191" s="105">
        <v>1.0</v>
      </c>
      <c r="H1191" s="77" t="s">
        <v>5</v>
      </c>
      <c r="I1191" s="78">
        <v>3.0</v>
      </c>
      <c r="J1191" s="82">
        <v>1.0</v>
      </c>
      <c r="K1191" s="103" t="s">
        <v>278</v>
      </c>
      <c r="L1191" s="104">
        <v>3.0</v>
      </c>
      <c r="M1191" s="105">
        <v>1.0</v>
      </c>
      <c r="O1191" s="77" t="s">
        <v>278</v>
      </c>
      <c r="P1191" s="78"/>
      <c r="Q1191" s="190">
        <v>1.0</v>
      </c>
      <c r="R1191" s="103" t="s">
        <v>166</v>
      </c>
      <c r="S1191" s="104"/>
      <c r="T1191" s="105">
        <v>1.0</v>
      </c>
      <c r="V1191" s="77" t="s">
        <v>18</v>
      </c>
      <c r="W1191" s="78">
        <v>1.0</v>
      </c>
      <c r="X1191" s="190"/>
      <c r="Y1191" s="103" t="s">
        <v>7</v>
      </c>
      <c r="Z1191" s="104">
        <v>1.0</v>
      </c>
      <c r="AA1191" s="105">
        <v>1.0</v>
      </c>
      <c r="AC1191" s="52" t="s">
        <v>365</v>
      </c>
      <c r="AD1191" s="52">
        <v>3.0</v>
      </c>
      <c r="AF1191" s="52" t="s">
        <v>174</v>
      </c>
      <c r="AG1191" s="52">
        <v>1.0</v>
      </c>
    </row>
    <row r="1192" ht="14.25" customHeight="1">
      <c r="A1192" s="77" t="s">
        <v>370</v>
      </c>
      <c r="B1192" s="78">
        <v>1.0</v>
      </c>
      <c r="AC1192" s="52" t="s">
        <v>36</v>
      </c>
      <c r="AD1192" s="52">
        <v>2.0</v>
      </c>
      <c r="AF1192" s="52" t="s">
        <v>232</v>
      </c>
      <c r="AG1192" s="52">
        <v>1.0</v>
      </c>
    </row>
    <row r="1193" ht="14.25" customHeight="1">
      <c r="Y1193" s="90"/>
      <c r="Z1193" s="90"/>
      <c r="AF1193" s="52" t="s">
        <v>144</v>
      </c>
      <c r="AG1193" s="52">
        <v>1.0</v>
      </c>
    </row>
    <row r="1194" ht="14.25" customHeight="1">
      <c r="Y1194" s="56">
        <f>A1185+D1185+H1185+K1185+O1185+R1185+V1185+Y1185</f>
        <v>42</v>
      </c>
      <c r="Z1194" s="3"/>
      <c r="AG1194" s="48"/>
    </row>
    <row r="1195" ht="14.25" customHeight="1"/>
    <row r="1196" ht="14.25" customHeight="1"/>
    <row r="1197" ht="14.25" customHeight="1">
      <c r="P1197" s="8">
        <v>45839.0</v>
      </c>
      <c r="Q1197" s="2"/>
      <c r="R1197" s="2"/>
      <c r="S1197" s="3"/>
    </row>
    <row r="1198" ht="14.25" customHeight="1">
      <c r="D1198" s="131"/>
    </row>
    <row r="1199" ht="14.25" customHeight="1">
      <c r="A1199" s="9"/>
      <c r="B1199" s="226" t="s">
        <v>371</v>
      </c>
      <c r="C1199" s="2"/>
      <c r="D1199" s="2"/>
      <c r="E1199" s="2"/>
      <c r="F1199" s="3"/>
      <c r="H1199" s="9">
        <v>42.0</v>
      </c>
      <c r="I1199" s="10">
        <v>45846.0</v>
      </c>
      <c r="J1199" s="2"/>
      <c r="K1199" s="2"/>
      <c r="L1199" s="2"/>
      <c r="M1199" s="3"/>
      <c r="O1199" s="9">
        <v>43.0</v>
      </c>
      <c r="P1199" s="10">
        <v>45853.0</v>
      </c>
      <c r="Q1199" s="2"/>
      <c r="R1199" s="2"/>
      <c r="S1199" s="2"/>
      <c r="T1199" s="3"/>
      <c r="V1199" s="9">
        <v>44.0</v>
      </c>
      <c r="W1199" s="10">
        <v>45860.0</v>
      </c>
      <c r="X1199" s="2"/>
      <c r="Y1199" s="2"/>
      <c r="Z1199" s="2"/>
      <c r="AA1199" s="3"/>
      <c r="AC1199" s="9">
        <v>45.0</v>
      </c>
      <c r="AD1199" s="10">
        <v>45867.0</v>
      </c>
      <c r="AE1199" s="2"/>
      <c r="AF1199" s="2"/>
      <c r="AG1199" s="2"/>
      <c r="AH1199" s="3"/>
    </row>
    <row r="1200" ht="14.25" customHeight="1">
      <c r="A1200" s="204">
        <v>0.0</v>
      </c>
      <c r="B1200" s="2"/>
      <c r="C1200" s="3"/>
      <c r="D1200" s="204">
        <v>0.0</v>
      </c>
      <c r="E1200" s="2"/>
      <c r="F1200" s="3"/>
      <c r="H1200" s="14">
        <v>4.0</v>
      </c>
      <c r="I1200" s="2"/>
      <c r="J1200" s="3"/>
      <c r="K1200" s="39">
        <v>4.0</v>
      </c>
      <c r="L1200" s="2"/>
      <c r="M1200" s="3"/>
      <c r="O1200" s="14">
        <v>9.0</v>
      </c>
      <c r="P1200" s="2"/>
      <c r="Q1200" s="3"/>
      <c r="R1200" s="39">
        <v>2.0</v>
      </c>
      <c r="S1200" s="2"/>
      <c r="T1200" s="3"/>
      <c r="V1200" s="14">
        <v>9.0</v>
      </c>
      <c r="W1200" s="2"/>
      <c r="X1200" s="3"/>
      <c r="Y1200" s="39">
        <v>5.0</v>
      </c>
      <c r="Z1200" s="2"/>
      <c r="AA1200" s="3"/>
      <c r="AC1200" s="14">
        <v>5.0</v>
      </c>
      <c r="AD1200" s="2"/>
      <c r="AE1200" s="3"/>
      <c r="AF1200" s="39">
        <v>7.0</v>
      </c>
      <c r="AG1200" s="2"/>
      <c r="AH1200" s="3"/>
    </row>
    <row r="1201" ht="12.0" customHeight="1">
      <c r="A1201" s="177"/>
      <c r="B1201" s="206" t="s">
        <v>69</v>
      </c>
      <c r="C1201" s="206" t="s">
        <v>70</v>
      </c>
      <c r="D1201" s="177"/>
      <c r="E1201" s="208" t="s">
        <v>69</v>
      </c>
      <c r="F1201" s="206" t="s">
        <v>70</v>
      </c>
      <c r="H1201" s="66"/>
      <c r="I1201" s="61" t="s">
        <v>69</v>
      </c>
      <c r="J1201" s="62" t="s">
        <v>70</v>
      </c>
      <c r="K1201" s="94"/>
      <c r="L1201" s="95" t="s">
        <v>69</v>
      </c>
      <c r="M1201" s="96" t="s">
        <v>70</v>
      </c>
      <c r="O1201" s="66"/>
      <c r="P1201" s="61" t="s">
        <v>69</v>
      </c>
      <c r="Q1201" s="62" t="s">
        <v>70</v>
      </c>
      <c r="R1201" s="94"/>
      <c r="S1201" s="95" t="s">
        <v>69</v>
      </c>
      <c r="T1201" s="96" t="s">
        <v>70</v>
      </c>
      <c r="V1201" s="66"/>
      <c r="W1201" s="61" t="s">
        <v>69</v>
      </c>
      <c r="X1201" s="62" t="s">
        <v>70</v>
      </c>
      <c r="Y1201" s="94"/>
      <c r="Z1201" s="95" t="s">
        <v>69</v>
      </c>
      <c r="AA1201" s="96" t="s">
        <v>70</v>
      </c>
      <c r="AC1201" s="66"/>
      <c r="AD1201" s="61" t="s">
        <v>69</v>
      </c>
      <c r="AE1201" s="62" t="s">
        <v>70</v>
      </c>
      <c r="AF1201" s="94"/>
      <c r="AG1201" s="95" t="s">
        <v>69</v>
      </c>
      <c r="AH1201" s="96" t="s">
        <v>70</v>
      </c>
    </row>
    <row r="1202" ht="14.25" customHeight="1">
      <c r="A1202" s="209"/>
      <c r="B1202" s="210"/>
      <c r="C1202" s="217"/>
      <c r="D1202" s="209"/>
      <c r="E1202" s="212"/>
      <c r="F1202" s="213"/>
      <c r="H1202" s="67" t="s">
        <v>17</v>
      </c>
      <c r="I1202" s="68">
        <v>3.0</v>
      </c>
      <c r="J1202" s="69"/>
      <c r="K1202" s="97" t="s">
        <v>10</v>
      </c>
      <c r="L1202" s="98">
        <v>1.0</v>
      </c>
      <c r="M1202" s="99">
        <v>1.0</v>
      </c>
      <c r="O1202" s="67" t="s">
        <v>7</v>
      </c>
      <c r="P1202" s="68">
        <v>2.0</v>
      </c>
      <c r="Q1202" s="69">
        <v>1.0</v>
      </c>
      <c r="R1202" s="97" t="s">
        <v>166</v>
      </c>
      <c r="S1202" s="98"/>
      <c r="T1202" s="99"/>
      <c r="V1202" s="67" t="s">
        <v>5</v>
      </c>
      <c r="W1202" s="68">
        <v>3.0</v>
      </c>
      <c r="X1202" s="69">
        <v>1.0</v>
      </c>
      <c r="Y1202" s="97" t="s">
        <v>4</v>
      </c>
      <c r="Z1202" s="98"/>
      <c r="AA1202" s="99"/>
      <c r="AC1202" s="67" t="s">
        <v>7</v>
      </c>
      <c r="AD1202" s="68"/>
      <c r="AE1202" s="69">
        <v>1.0</v>
      </c>
      <c r="AF1202" s="97" t="s">
        <v>5</v>
      </c>
      <c r="AG1202" s="98"/>
      <c r="AH1202" s="99"/>
    </row>
    <row r="1203" ht="14.25" customHeight="1">
      <c r="A1203" s="214"/>
      <c r="B1203" s="215"/>
      <c r="C1203" s="217"/>
      <c r="D1203" s="214"/>
      <c r="E1203" s="216"/>
      <c r="F1203" s="217"/>
      <c r="H1203" s="72" t="s">
        <v>166</v>
      </c>
      <c r="I1203" s="73">
        <v>1.0</v>
      </c>
      <c r="J1203" s="69">
        <v>1.0</v>
      </c>
      <c r="K1203" s="100" t="s">
        <v>4</v>
      </c>
      <c r="L1203" s="101">
        <v>1.0</v>
      </c>
      <c r="M1203" s="102">
        <v>1.0</v>
      </c>
      <c r="O1203" s="72" t="s">
        <v>5</v>
      </c>
      <c r="P1203" s="73">
        <v>2.0</v>
      </c>
      <c r="Q1203" s="69">
        <v>1.0</v>
      </c>
      <c r="R1203" s="100" t="s">
        <v>335</v>
      </c>
      <c r="S1203" s="101">
        <v>1.0</v>
      </c>
      <c r="T1203" s="102"/>
      <c r="V1203" s="72" t="s">
        <v>17</v>
      </c>
      <c r="W1203" s="73"/>
      <c r="X1203" s="69">
        <v>3.0</v>
      </c>
      <c r="Y1203" s="100" t="s">
        <v>166</v>
      </c>
      <c r="Z1203" s="101">
        <v>2.0</v>
      </c>
      <c r="AA1203" s="102"/>
      <c r="AC1203" s="72" t="s">
        <v>278</v>
      </c>
      <c r="AD1203" s="73">
        <v>1.0</v>
      </c>
      <c r="AE1203" s="69">
        <v>1.0</v>
      </c>
      <c r="AF1203" s="100" t="s">
        <v>18</v>
      </c>
      <c r="AG1203" s="101">
        <v>2.0</v>
      </c>
      <c r="AH1203" s="102">
        <v>1.0</v>
      </c>
    </row>
    <row r="1204" ht="14.25" customHeight="1">
      <c r="A1204" s="214"/>
      <c r="B1204" s="215"/>
      <c r="C1204" s="217"/>
      <c r="D1204" s="214"/>
      <c r="E1204" s="216"/>
      <c r="F1204" s="217"/>
      <c r="H1204" s="72" t="s">
        <v>18</v>
      </c>
      <c r="I1204" s="73"/>
      <c r="J1204" s="69"/>
      <c r="K1204" s="100" t="s">
        <v>7</v>
      </c>
      <c r="L1204" s="101"/>
      <c r="M1204" s="102">
        <v>1.0</v>
      </c>
      <c r="O1204" s="72" t="s">
        <v>20</v>
      </c>
      <c r="P1204" s="73">
        <v>2.0</v>
      </c>
      <c r="Q1204" s="69"/>
      <c r="R1204" s="100" t="s">
        <v>153</v>
      </c>
      <c r="S1204" s="101"/>
      <c r="T1204" s="102">
        <v>1.0</v>
      </c>
      <c r="V1204" s="72" t="s">
        <v>14</v>
      </c>
      <c r="W1204" s="73">
        <v>3.0</v>
      </c>
      <c r="X1204" s="69">
        <v>1.0</v>
      </c>
      <c r="Y1204" s="100" t="s">
        <v>296</v>
      </c>
      <c r="Z1204" s="101">
        <v>1.0</v>
      </c>
      <c r="AA1204" s="102">
        <v>1.0</v>
      </c>
      <c r="AC1204" s="72" t="s">
        <v>166</v>
      </c>
      <c r="AD1204" s="73">
        <v>4.0</v>
      </c>
      <c r="AE1204" s="69"/>
      <c r="AF1204" s="100" t="s">
        <v>10</v>
      </c>
      <c r="AG1204" s="101">
        <v>1.0</v>
      </c>
      <c r="AH1204" s="102"/>
    </row>
    <row r="1205" ht="14.25" customHeight="1">
      <c r="A1205" s="214"/>
      <c r="B1205" s="215"/>
      <c r="C1205" s="217"/>
      <c r="D1205" s="214"/>
      <c r="E1205" s="216"/>
      <c r="F1205" s="217"/>
      <c r="H1205" s="72" t="s">
        <v>5</v>
      </c>
      <c r="I1205" s="73"/>
      <c r="J1205" s="69">
        <v>2.0</v>
      </c>
      <c r="K1205" s="100" t="s">
        <v>210</v>
      </c>
      <c r="L1205" s="101"/>
      <c r="M1205" s="102"/>
      <c r="O1205" s="72" t="s">
        <v>10</v>
      </c>
      <c r="P1205" s="73"/>
      <c r="Q1205" s="69">
        <v>1.0</v>
      </c>
      <c r="R1205" s="100" t="s">
        <v>18</v>
      </c>
      <c r="S1205" s="101"/>
      <c r="T1205" s="102"/>
      <c r="V1205" s="72" t="s">
        <v>7</v>
      </c>
      <c r="W1205" s="73"/>
      <c r="X1205" s="69"/>
      <c r="Y1205" s="100" t="s">
        <v>278</v>
      </c>
      <c r="Z1205" s="101">
        <v>2.0</v>
      </c>
      <c r="AA1205" s="102">
        <v>1.0</v>
      </c>
      <c r="AC1205" s="72" t="s">
        <v>137</v>
      </c>
      <c r="AD1205" s="73"/>
      <c r="AE1205" s="69"/>
      <c r="AF1205" s="100" t="s">
        <v>54</v>
      </c>
      <c r="AG1205" s="101">
        <v>2.0</v>
      </c>
      <c r="AH1205" s="102">
        <v>2.0</v>
      </c>
    </row>
    <row r="1206" ht="14.25" customHeight="1">
      <c r="A1206" s="163"/>
      <c r="B1206" s="220"/>
      <c r="C1206" s="222"/>
      <c r="D1206" s="163"/>
      <c r="E1206" s="221"/>
      <c r="F1206" s="222"/>
      <c r="H1206" s="77" t="s">
        <v>363</v>
      </c>
      <c r="I1206" s="78"/>
      <c r="J1206" s="82"/>
      <c r="K1206" s="103" t="s">
        <v>296</v>
      </c>
      <c r="L1206" s="104">
        <v>2.0</v>
      </c>
      <c r="M1206" s="105"/>
      <c r="O1206" s="77" t="s">
        <v>17</v>
      </c>
      <c r="P1206" s="78">
        <v>3.0</v>
      </c>
      <c r="Q1206" s="82">
        <v>2.0</v>
      </c>
      <c r="R1206" s="103" t="s">
        <v>4</v>
      </c>
      <c r="S1206" s="104">
        <v>1.0</v>
      </c>
      <c r="T1206" s="105">
        <v>1.0</v>
      </c>
      <c r="V1206" s="77" t="s">
        <v>10</v>
      </c>
      <c r="W1206" s="78">
        <v>3.0</v>
      </c>
      <c r="X1206" s="82">
        <v>1.0</v>
      </c>
      <c r="Y1206" s="103" t="s">
        <v>18</v>
      </c>
      <c r="Z1206" s="104"/>
      <c r="AA1206" s="105"/>
      <c r="AC1206" s="77" t="s">
        <v>296</v>
      </c>
      <c r="AD1206" s="78"/>
      <c r="AE1206" s="82">
        <v>1.0</v>
      </c>
      <c r="AF1206" s="100" t="s">
        <v>14</v>
      </c>
      <c r="AG1206" s="101">
        <v>2.0</v>
      </c>
      <c r="AH1206" s="102">
        <v>2.0</v>
      </c>
    </row>
    <row r="1207" ht="14.25" customHeight="1"/>
    <row r="1208" ht="14.25" customHeight="1"/>
    <row r="1209" ht="14.25" customHeight="1"/>
    <row r="1210" ht="14.25" customHeight="1">
      <c r="D1210" s="51" t="s">
        <v>372</v>
      </c>
      <c r="E1210" s="2"/>
      <c r="F1210" s="2"/>
      <c r="G1210" s="2"/>
      <c r="H1210" s="3"/>
      <c r="V1210" s="55" t="s">
        <v>3</v>
      </c>
      <c r="W1210" s="2"/>
      <c r="X1210" s="3"/>
      <c r="Y1210" s="56">
        <f>A1200+D1200+H1200+K1200+O1200+R1200+V1200+Y1200+AC1200+AF1200</f>
        <v>45</v>
      </c>
      <c r="Z1210" s="3"/>
    </row>
    <row r="1211" ht="14.25" customHeight="1"/>
    <row r="1212" ht="14.25" customHeight="1">
      <c r="D1212" s="52" t="s">
        <v>203</v>
      </c>
      <c r="E1212" s="52">
        <v>7.0</v>
      </c>
      <c r="H1212" s="52" t="s">
        <v>297</v>
      </c>
      <c r="I1212" s="52">
        <v>3.0</v>
      </c>
    </row>
    <row r="1213" ht="14.25" customHeight="1">
      <c r="D1213" s="52" t="s">
        <v>61</v>
      </c>
      <c r="E1213" s="52">
        <v>6.0</v>
      </c>
      <c r="H1213" s="52" t="s">
        <v>29</v>
      </c>
      <c r="I1213" s="52">
        <v>2.0</v>
      </c>
    </row>
    <row r="1214" ht="14.25" customHeight="1">
      <c r="D1214" s="52" t="s">
        <v>8</v>
      </c>
      <c r="E1214" s="52">
        <v>5.0</v>
      </c>
      <c r="H1214" s="52" t="s">
        <v>38</v>
      </c>
      <c r="I1214" s="52">
        <v>2.0</v>
      </c>
    </row>
    <row r="1215" ht="14.25" customHeight="1">
      <c r="D1215" s="52" t="s">
        <v>82</v>
      </c>
      <c r="E1215" s="52">
        <v>5.0</v>
      </c>
      <c r="H1215" s="52" t="s">
        <v>49</v>
      </c>
      <c r="I1215" s="52">
        <v>2.0</v>
      </c>
    </row>
    <row r="1216" ht="14.25" customHeight="1">
      <c r="D1216" s="52" t="s">
        <v>36</v>
      </c>
      <c r="E1216" s="52">
        <v>5.0</v>
      </c>
      <c r="H1216" s="52" t="s">
        <v>91</v>
      </c>
      <c r="I1216" s="52">
        <v>2.0</v>
      </c>
    </row>
    <row r="1217" ht="14.25" customHeight="1">
      <c r="D1217" s="52" t="s">
        <v>277</v>
      </c>
      <c r="E1217" s="52">
        <v>4.0</v>
      </c>
      <c r="H1217" s="52" t="s">
        <v>79</v>
      </c>
      <c r="I1217" s="52">
        <v>2.0</v>
      </c>
    </row>
    <row r="1218" ht="14.25" customHeight="1"/>
    <row r="1219" ht="14.25" customHeight="1"/>
    <row r="1220" ht="14.25" customHeight="1">
      <c r="P1220" s="8">
        <v>45870.0</v>
      </c>
      <c r="Q1220" s="2"/>
      <c r="R1220" s="2"/>
      <c r="S1220" s="3"/>
    </row>
    <row r="1221" ht="14.25" customHeight="1">
      <c r="D1221" s="225"/>
      <c r="R1221" s="225"/>
      <c r="Y1221" s="225"/>
    </row>
    <row r="1222" ht="14.25" customHeight="1">
      <c r="A1222" s="9">
        <v>46.0</v>
      </c>
      <c r="B1222" s="10">
        <v>45874.0</v>
      </c>
      <c r="C1222" s="2"/>
      <c r="D1222" s="2"/>
      <c r="E1222" s="2"/>
      <c r="F1222" s="3"/>
      <c r="H1222" s="9"/>
      <c r="I1222" s="226" t="s">
        <v>373</v>
      </c>
      <c r="J1222" s="2"/>
      <c r="K1222" s="2"/>
      <c r="L1222" s="2"/>
      <c r="M1222" s="3"/>
      <c r="O1222" s="9">
        <v>47.0</v>
      </c>
      <c r="P1222" s="10">
        <v>45888.0</v>
      </c>
      <c r="Q1222" s="2"/>
      <c r="R1222" s="2"/>
      <c r="S1222" s="2"/>
      <c r="T1222" s="3"/>
      <c r="V1222" s="9">
        <v>48.0</v>
      </c>
      <c r="W1222" s="10">
        <v>45895.0</v>
      </c>
      <c r="X1222" s="2"/>
      <c r="Y1222" s="2"/>
      <c r="Z1222" s="2"/>
      <c r="AA1222" s="3"/>
      <c r="AC1222" s="51" t="s">
        <v>374</v>
      </c>
      <c r="AD1222" s="2"/>
      <c r="AE1222" s="2"/>
      <c r="AF1222" s="2"/>
      <c r="AG1222" s="3"/>
    </row>
    <row r="1223" ht="14.25" customHeight="1">
      <c r="A1223" s="14">
        <v>7.0</v>
      </c>
      <c r="B1223" s="2"/>
      <c r="C1223" s="3"/>
      <c r="D1223" s="39">
        <v>5.0</v>
      </c>
      <c r="E1223" s="2"/>
      <c r="F1223" s="3"/>
      <c r="H1223" s="204">
        <v>0.0</v>
      </c>
      <c r="I1223" s="2"/>
      <c r="J1223" s="3"/>
      <c r="K1223" s="204">
        <v>0.0</v>
      </c>
      <c r="L1223" s="2"/>
      <c r="M1223" s="3"/>
      <c r="O1223" s="14">
        <v>3.0</v>
      </c>
      <c r="P1223" s="2"/>
      <c r="Q1223" s="3"/>
      <c r="R1223" s="39">
        <v>5.0</v>
      </c>
      <c r="S1223" s="2"/>
      <c r="T1223" s="3"/>
      <c r="V1223" s="14">
        <v>8.0</v>
      </c>
      <c r="W1223" s="2"/>
      <c r="X1223" s="3"/>
      <c r="Y1223" s="39">
        <v>2.0</v>
      </c>
      <c r="Z1223" s="2"/>
      <c r="AA1223" s="3"/>
    </row>
    <row r="1224" ht="12.0" customHeight="1">
      <c r="A1224" s="60"/>
      <c r="B1224" s="61" t="s">
        <v>69</v>
      </c>
      <c r="C1224" s="62" t="s">
        <v>70</v>
      </c>
      <c r="D1224" s="94"/>
      <c r="E1224" s="95" t="s">
        <v>69</v>
      </c>
      <c r="F1224" s="96" t="s">
        <v>70</v>
      </c>
      <c r="H1224" s="177"/>
      <c r="I1224" s="206" t="s">
        <v>69</v>
      </c>
      <c r="J1224" s="206" t="s">
        <v>70</v>
      </c>
      <c r="K1224" s="177"/>
      <c r="L1224" s="208" t="s">
        <v>69</v>
      </c>
      <c r="M1224" s="206" t="s">
        <v>70</v>
      </c>
      <c r="O1224" s="66"/>
      <c r="P1224" s="61" t="s">
        <v>69</v>
      </c>
      <c r="Q1224" s="62" t="s">
        <v>70</v>
      </c>
      <c r="R1224" s="94"/>
      <c r="S1224" s="95" t="s">
        <v>69</v>
      </c>
      <c r="T1224" s="96" t="s">
        <v>70</v>
      </c>
      <c r="V1224" s="66"/>
      <c r="W1224" s="61" t="s">
        <v>69</v>
      </c>
      <c r="X1224" s="62" t="s">
        <v>70</v>
      </c>
      <c r="Y1224" s="94"/>
      <c r="Z1224" s="95" t="s">
        <v>69</v>
      </c>
      <c r="AA1224" s="96" t="s">
        <v>70</v>
      </c>
      <c r="AC1224" s="52" t="s">
        <v>61</v>
      </c>
      <c r="AD1224" s="52">
        <v>6.0</v>
      </c>
      <c r="AF1224" s="52" t="s">
        <v>79</v>
      </c>
      <c r="AG1224" s="52">
        <v>2.0</v>
      </c>
    </row>
    <row r="1225" ht="14.25" customHeight="1">
      <c r="A1225" s="67" t="s">
        <v>54</v>
      </c>
      <c r="B1225" s="68"/>
      <c r="C1225" s="69">
        <v>4.0</v>
      </c>
      <c r="D1225" s="97" t="s">
        <v>278</v>
      </c>
      <c r="E1225" s="98">
        <v>1.0</v>
      </c>
      <c r="F1225" s="99"/>
      <c r="H1225" s="209"/>
      <c r="I1225" s="210"/>
      <c r="J1225" s="217"/>
      <c r="K1225" s="209"/>
      <c r="L1225" s="212"/>
      <c r="M1225" s="213"/>
      <c r="O1225" s="67" t="s">
        <v>5</v>
      </c>
      <c r="P1225" s="68">
        <v>1.0</v>
      </c>
      <c r="Q1225" s="69"/>
      <c r="R1225" s="97" t="s">
        <v>278</v>
      </c>
      <c r="S1225" s="98">
        <v>2.0</v>
      </c>
      <c r="T1225" s="99"/>
      <c r="V1225" s="67" t="s">
        <v>18</v>
      </c>
      <c r="W1225" s="68"/>
      <c r="X1225" s="69">
        <v>1.0</v>
      </c>
      <c r="Y1225" s="97" t="s">
        <v>7</v>
      </c>
      <c r="Z1225" s="98"/>
      <c r="AA1225" s="99">
        <v>1.0</v>
      </c>
      <c r="AC1225" s="52" t="s">
        <v>36</v>
      </c>
      <c r="AD1225" s="52">
        <v>5.0</v>
      </c>
      <c r="AF1225" s="52" t="s">
        <v>297</v>
      </c>
      <c r="AG1225" s="52">
        <v>2.0</v>
      </c>
    </row>
    <row r="1226" ht="14.25" customHeight="1">
      <c r="A1226" s="72" t="s">
        <v>18</v>
      </c>
      <c r="B1226" s="73"/>
      <c r="C1226" s="69"/>
      <c r="D1226" s="100" t="s">
        <v>166</v>
      </c>
      <c r="E1226" s="101"/>
      <c r="F1226" s="102">
        <v>2.0</v>
      </c>
      <c r="H1226" s="214"/>
      <c r="I1226" s="215"/>
      <c r="J1226" s="217"/>
      <c r="K1226" s="214"/>
      <c r="L1226" s="216"/>
      <c r="M1226" s="217"/>
      <c r="O1226" s="72" t="s">
        <v>166</v>
      </c>
      <c r="P1226" s="73"/>
      <c r="Q1226" s="69"/>
      <c r="R1226" s="100" t="s">
        <v>18</v>
      </c>
      <c r="S1226" s="101"/>
      <c r="T1226" s="102"/>
      <c r="V1226" s="72" t="s">
        <v>211</v>
      </c>
      <c r="W1226" s="73">
        <v>1.0</v>
      </c>
      <c r="X1226" s="69">
        <v>4.0</v>
      </c>
      <c r="Y1226" s="100" t="s">
        <v>10</v>
      </c>
      <c r="Z1226" s="101"/>
      <c r="AA1226" s="102">
        <v>1.0</v>
      </c>
      <c r="AC1226" s="52" t="s">
        <v>49</v>
      </c>
      <c r="AD1226" s="52">
        <v>4.0</v>
      </c>
      <c r="AF1226" s="52" t="s">
        <v>266</v>
      </c>
      <c r="AG1226" s="52">
        <v>1.0</v>
      </c>
    </row>
    <row r="1227" ht="14.25" customHeight="1">
      <c r="A1227" s="72" t="s">
        <v>14</v>
      </c>
      <c r="B1227" s="73">
        <v>4.0</v>
      </c>
      <c r="C1227" s="69"/>
      <c r="D1227" s="100" t="s">
        <v>4</v>
      </c>
      <c r="E1227" s="101">
        <v>1.0</v>
      </c>
      <c r="F1227" s="102"/>
      <c r="H1227" s="214"/>
      <c r="I1227" s="215"/>
      <c r="J1227" s="217"/>
      <c r="K1227" s="214"/>
      <c r="L1227" s="216"/>
      <c r="M1227" s="217"/>
      <c r="O1227" s="72" t="s">
        <v>4</v>
      </c>
      <c r="P1227" s="73">
        <v>2.0</v>
      </c>
      <c r="Q1227" s="69">
        <v>1.0</v>
      </c>
      <c r="R1227" s="100" t="s">
        <v>153</v>
      </c>
      <c r="S1227" s="101">
        <v>1.0</v>
      </c>
      <c r="T1227" s="102">
        <v>1.0</v>
      </c>
      <c r="V1227" s="72" t="s">
        <v>17</v>
      </c>
      <c r="W1227" s="73">
        <v>4.0</v>
      </c>
      <c r="X1227" s="69"/>
      <c r="Y1227" s="100" t="s">
        <v>5</v>
      </c>
      <c r="Z1227" s="101">
        <v>1.0</v>
      </c>
      <c r="AA1227" s="102"/>
      <c r="AC1227" s="52" t="s">
        <v>232</v>
      </c>
      <c r="AD1227" s="52">
        <v>3.0</v>
      </c>
      <c r="AF1227" s="52" t="s">
        <v>365</v>
      </c>
      <c r="AG1227" s="52">
        <v>1.0</v>
      </c>
    </row>
    <row r="1228" ht="14.25" customHeight="1">
      <c r="A1228" s="72" t="s">
        <v>153</v>
      </c>
      <c r="B1228" s="73">
        <v>2.0</v>
      </c>
      <c r="C1228" s="69">
        <v>1.0</v>
      </c>
      <c r="D1228" s="100" t="s">
        <v>363</v>
      </c>
      <c r="E1228" s="101">
        <v>1.0</v>
      </c>
      <c r="F1228" s="102"/>
      <c r="H1228" s="214"/>
      <c r="I1228" s="215"/>
      <c r="J1228" s="217"/>
      <c r="K1228" s="214"/>
      <c r="L1228" s="216"/>
      <c r="M1228" s="217"/>
      <c r="O1228" s="72" t="s">
        <v>10</v>
      </c>
      <c r="P1228" s="73"/>
      <c r="Q1228" s="69"/>
      <c r="R1228" s="100" t="s">
        <v>54</v>
      </c>
      <c r="S1228" s="101">
        <v>2.0</v>
      </c>
      <c r="T1228" s="102">
        <v>1.0</v>
      </c>
      <c r="V1228" s="72" t="s">
        <v>296</v>
      </c>
      <c r="W1228" s="73">
        <v>2.0</v>
      </c>
      <c r="X1228" s="69">
        <v>1.0</v>
      </c>
      <c r="Y1228" s="100" t="s">
        <v>14</v>
      </c>
      <c r="Z1228" s="101">
        <v>1.0</v>
      </c>
      <c r="AA1228" s="102"/>
      <c r="AC1228" s="52" t="s">
        <v>277</v>
      </c>
      <c r="AD1228" s="52">
        <v>3.0</v>
      </c>
    </row>
    <row r="1229" ht="14.25" customHeight="1">
      <c r="A1229" s="77" t="s">
        <v>5</v>
      </c>
      <c r="B1229" s="78">
        <v>1.0</v>
      </c>
      <c r="C1229" s="82">
        <v>2.0</v>
      </c>
      <c r="D1229" s="103" t="s">
        <v>17</v>
      </c>
      <c r="E1229" s="104">
        <v>2.0</v>
      </c>
      <c r="F1229" s="105">
        <v>2.0</v>
      </c>
      <c r="H1229" s="163"/>
      <c r="I1229" s="220"/>
      <c r="J1229" s="222"/>
      <c r="K1229" s="163"/>
      <c r="L1229" s="221"/>
      <c r="M1229" s="222"/>
      <c r="O1229" s="77" t="s">
        <v>14</v>
      </c>
      <c r="P1229" s="78"/>
      <c r="Q1229" s="190">
        <v>1.0</v>
      </c>
      <c r="R1229" s="103" t="s">
        <v>296</v>
      </c>
      <c r="S1229" s="104"/>
      <c r="T1229" s="105">
        <v>1.0</v>
      </c>
      <c r="V1229" s="77" t="s">
        <v>4</v>
      </c>
      <c r="W1229" s="78">
        <v>1.0</v>
      </c>
      <c r="X1229" s="190"/>
      <c r="Y1229" s="103" t="s">
        <v>166</v>
      </c>
      <c r="Z1229" s="104"/>
      <c r="AA1229" s="105"/>
      <c r="AC1229" s="52" t="s">
        <v>8</v>
      </c>
      <c r="AD1229" s="52">
        <v>3.0</v>
      </c>
    </row>
    <row r="1230" ht="14.25" customHeight="1"/>
    <row r="1231" ht="14.25" customHeight="1">
      <c r="Y1231" s="90"/>
      <c r="Z1231" s="90"/>
    </row>
    <row r="1232" ht="14.25" customHeight="1">
      <c r="Y1232" s="56">
        <f>A1223+D1223+H1223+K1223+O1223+R1223+V1223+Y1223</f>
        <v>30</v>
      </c>
      <c r="Z1232" s="3"/>
      <c r="AG1232" s="48"/>
    </row>
    <row r="1233" ht="14.25" customHeight="1"/>
    <row r="1234" ht="14.25" customHeight="1"/>
    <row r="1235" ht="14.25" customHeight="1"/>
    <row r="1236" ht="14.25" customHeight="1">
      <c r="L1236" s="4" t="s">
        <v>375</v>
      </c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3"/>
    </row>
    <row r="1237" ht="20.25" customHeight="1"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</row>
    <row r="1238" ht="14.25" customHeight="1"/>
    <row r="1239" ht="14.25" customHeight="1">
      <c r="P1239" s="8">
        <v>45901.0</v>
      </c>
      <c r="Q1239" s="2"/>
      <c r="R1239" s="2"/>
      <c r="S1239" s="3"/>
    </row>
    <row r="1240" ht="14.25" customHeight="1"/>
    <row r="1241" ht="14.25" customHeight="1">
      <c r="A1241" s="9">
        <v>1.0</v>
      </c>
      <c r="B1241" s="10">
        <v>45902.0</v>
      </c>
      <c r="C1241" s="2"/>
      <c r="D1241" s="2"/>
      <c r="E1241" s="2"/>
      <c r="F1241" s="3"/>
      <c r="H1241" s="9">
        <v>2.0</v>
      </c>
      <c r="I1241" s="10">
        <v>45909.0</v>
      </c>
      <c r="J1241" s="2"/>
      <c r="K1241" s="2"/>
      <c r="L1241" s="2"/>
      <c r="M1241" s="3"/>
      <c r="O1241" s="9">
        <v>3.0</v>
      </c>
      <c r="P1241" s="10">
        <v>45916.0</v>
      </c>
      <c r="Q1241" s="2"/>
      <c r="R1241" s="2"/>
      <c r="S1241" s="2"/>
      <c r="T1241" s="3"/>
      <c r="V1241" s="9">
        <v>4.0</v>
      </c>
      <c r="W1241" s="10">
        <v>45923.0</v>
      </c>
      <c r="X1241" s="2"/>
      <c r="Y1241" s="2"/>
      <c r="Z1241" s="2"/>
      <c r="AA1241" s="3"/>
      <c r="AC1241" s="9">
        <v>5.0</v>
      </c>
      <c r="AD1241" s="10">
        <v>45930.0</v>
      </c>
      <c r="AE1241" s="2"/>
      <c r="AF1241" s="2"/>
      <c r="AG1241" s="2"/>
      <c r="AH1241" s="3"/>
    </row>
    <row r="1242" ht="14.25" customHeight="1">
      <c r="A1242" s="14">
        <v>6.0</v>
      </c>
      <c r="B1242" s="2"/>
      <c r="C1242" s="3"/>
      <c r="D1242" s="39">
        <v>4.0</v>
      </c>
      <c r="E1242" s="2"/>
      <c r="F1242" s="3"/>
      <c r="H1242" s="14">
        <v>4.0</v>
      </c>
      <c r="I1242" s="2"/>
      <c r="J1242" s="3"/>
      <c r="K1242" s="39">
        <v>1.0</v>
      </c>
      <c r="L1242" s="2"/>
      <c r="M1242" s="3"/>
      <c r="O1242" s="14">
        <v>6.0</v>
      </c>
      <c r="P1242" s="2"/>
      <c r="Q1242" s="3"/>
      <c r="R1242" s="39">
        <v>6.0</v>
      </c>
      <c r="S1242" s="2"/>
      <c r="T1242" s="3"/>
      <c r="V1242" s="14">
        <v>5.0</v>
      </c>
      <c r="W1242" s="2"/>
      <c r="X1242" s="3"/>
      <c r="Y1242" s="39">
        <v>4.0</v>
      </c>
      <c r="Z1242" s="2"/>
      <c r="AA1242" s="3"/>
      <c r="AC1242" s="14">
        <v>7.0</v>
      </c>
      <c r="AD1242" s="2"/>
      <c r="AE1242" s="3"/>
      <c r="AF1242" s="39">
        <v>4.0</v>
      </c>
      <c r="AG1242" s="2"/>
      <c r="AH1242" s="3"/>
    </row>
    <row r="1243" ht="12.0" customHeight="1">
      <c r="A1243" s="66"/>
      <c r="B1243" s="61" t="s">
        <v>69</v>
      </c>
      <c r="C1243" s="62" t="s">
        <v>70</v>
      </c>
      <c r="D1243" s="94"/>
      <c r="E1243" s="95" t="s">
        <v>69</v>
      </c>
      <c r="F1243" s="96" t="s">
        <v>70</v>
      </c>
      <c r="H1243" s="66"/>
      <c r="I1243" s="61" t="s">
        <v>69</v>
      </c>
      <c r="J1243" s="62" t="s">
        <v>70</v>
      </c>
      <c r="K1243" s="94"/>
      <c r="L1243" s="95" t="s">
        <v>69</v>
      </c>
      <c r="M1243" s="96" t="s">
        <v>70</v>
      </c>
      <c r="O1243" s="66"/>
      <c r="P1243" s="61" t="s">
        <v>69</v>
      </c>
      <c r="Q1243" s="62" t="s">
        <v>70</v>
      </c>
      <c r="R1243" s="94"/>
      <c r="S1243" s="95" t="s">
        <v>69</v>
      </c>
      <c r="T1243" s="96" t="s">
        <v>70</v>
      </c>
      <c r="V1243" s="66"/>
      <c r="W1243" s="61" t="s">
        <v>69</v>
      </c>
      <c r="X1243" s="62" t="s">
        <v>70</v>
      </c>
      <c r="Y1243" s="94"/>
      <c r="Z1243" s="95" t="s">
        <v>69</v>
      </c>
      <c r="AA1243" s="96" t="s">
        <v>70</v>
      </c>
      <c r="AC1243" s="66"/>
      <c r="AD1243" s="61" t="s">
        <v>69</v>
      </c>
      <c r="AE1243" s="62" t="s">
        <v>70</v>
      </c>
      <c r="AF1243" s="94"/>
      <c r="AG1243" s="95" t="s">
        <v>69</v>
      </c>
      <c r="AH1243" s="96" t="s">
        <v>70</v>
      </c>
    </row>
    <row r="1244" ht="14.25" customHeight="1">
      <c r="A1244" s="67" t="s">
        <v>18</v>
      </c>
      <c r="B1244" s="68">
        <v>1.0</v>
      </c>
      <c r="C1244" s="69"/>
      <c r="D1244" s="97" t="s">
        <v>10</v>
      </c>
      <c r="E1244" s="98"/>
      <c r="F1244" s="99">
        <v>1.0</v>
      </c>
      <c r="H1244" s="67" t="s">
        <v>10</v>
      </c>
      <c r="I1244" s="68">
        <v>1.0</v>
      </c>
      <c r="J1244" s="69">
        <v>1.0</v>
      </c>
      <c r="K1244" s="97" t="s">
        <v>18</v>
      </c>
      <c r="L1244" s="98"/>
      <c r="M1244" s="99"/>
      <c r="O1244" s="67" t="s">
        <v>5</v>
      </c>
      <c r="P1244" s="68">
        <v>1.0</v>
      </c>
      <c r="Q1244" s="69">
        <v>1.0</v>
      </c>
      <c r="R1244" s="97" t="s">
        <v>166</v>
      </c>
      <c r="S1244" s="98">
        <v>1.0</v>
      </c>
      <c r="T1244" s="99">
        <v>1.0</v>
      </c>
      <c r="V1244" s="67" t="s">
        <v>10</v>
      </c>
      <c r="W1244" s="68"/>
      <c r="X1244" s="69"/>
      <c r="Y1244" s="97" t="s">
        <v>211</v>
      </c>
      <c r="Z1244" s="98">
        <v>1.0</v>
      </c>
      <c r="AA1244" s="99">
        <v>1.0</v>
      </c>
      <c r="AC1244" s="67" t="s">
        <v>14</v>
      </c>
      <c r="AD1244" s="68">
        <v>3.0</v>
      </c>
      <c r="AE1244" s="69"/>
      <c r="AF1244" s="97" t="s">
        <v>166</v>
      </c>
      <c r="AG1244" s="98">
        <v>2.0</v>
      </c>
      <c r="AH1244" s="99"/>
    </row>
    <row r="1245" ht="14.25" customHeight="1">
      <c r="A1245" s="72" t="s">
        <v>278</v>
      </c>
      <c r="B1245" s="73">
        <v>1.0</v>
      </c>
      <c r="C1245" s="69">
        <v>1.0</v>
      </c>
      <c r="D1245" s="100" t="s">
        <v>7</v>
      </c>
      <c r="E1245" s="101"/>
      <c r="F1245" s="102"/>
      <c r="H1245" s="72" t="s">
        <v>20</v>
      </c>
      <c r="I1245" s="73">
        <v>2.0</v>
      </c>
      <c r="J1245" s="69"/>
      <c r="K1245" s="100" t="s">
        <v>278</v>
      </c>
      <c r="L1245" s="101"/>
      <c r="M1245" s="102"/>
      <c r="O1245" s="72" t="s">
        <v>24</v>
      </c>
      <c r="P1245" s="73">
        <v>2.0</v>
      </c>
      <c r="Q1245" s="69"/>
      <c r="R1245" s="100" t="s">
        <v>7</v>
      </c>
      <c r="S1245" s="101">
        <v>1.0</v>
      </c>
      <c r="T1245" s="102">
        <v>2.0</v>
      </c>
      <c r="V1245" s="72" t="s">
        <v>278</v>
      </c>
      <c r="W1245" s="73">
        <v>2.0</v>
      </c>
      <c r="X1245" s="69"/>
      <c r="Y1245" s="100" t="s">
        <v>166</v>
      </c>
      <c r="Z1245" s="101">
        <v>3.0</v>
      </c>
      <c r="AA1245" s="102"/>
      <c r="AC1245" s="72" t="s">
        <v>10</v>
      </c>
      <c r="AD1245" s="73"/>
      <c r="AE1245" s="69">
        <v>1.0</v>
      </c>
      <c r="AF1245" s="100" t="s">
        <v>5</v>
      </c>
      <c r="AG1245" s="101"/>
      <c r="AH1245" s="102">
        <v>2.0</v>
      </c>
    </row>
    <row r="1246" ht="14.25" customHeight="1">
      <c r="A1246" s="72" t="s">
        <v>14</v>
      </c>
      <c r="B1246" s="73">
        <v>2.0</v>
      </c>
      <c r="C1246" s="69">
        <v>2.0</v>
      </c>
      <c r="D1246" s="100" t="s">
        <v>17</v>
      </c>
      <c r="E1246" s="101">
        <v>1.0</v>
      </c>
      <c r="F1246" s="102">
        <v>1.0</v>
      </c>
      <c r="H1246" s="72" t="s">
        <v>363</v>
      </c>
      <c r="I1246" s="73"/>
      <c r="J1246" s="69"/>
      <c r="K1246" s="100" t="s">
        <v>166</v>
      </c>
      <c r="L1246" s="101"/>
      <c r="M1246" s="102"/>
      <c r="O1246" s="72" t="s">
        <v>20</v>
      </c>
      <c r="P1246" s="73">
        <v>1.0</v>
      </c>
      <c r="Q1246" s="69">
        <v>1.0</v>
      </c>
      <c r="R1246" s="100" t="s">
        <v>376</v>
      </c>
      <c r="S1246" s="101">
        <v>2.0</v>
      </c>
      <c r="T1246" s="102"/>
      <c r="V1246" s="72" t="s">
        <v>17</v>
      </c>
      <c r="W1246" s="73">
        <v>1.0</v>
      </c>
      <c r="X1246" s="69">
        <v>1.0</v>
      </c>
      <c r="Y1246" s="100" t="s">
        <v>4</v>
      </c>
      <c r="Z1246" s="101"/>
      <c r="AA1246" s="102"/>
      <c r="AC1246" s="72" t="s">
        <v>278</v>
      </c>
      <c r="AD1246" s="73">
        <v>3.0</v>
      </c>
      <c r="AE1246" s="69"/>
      <c r="AF1246" s="100" t="s">
        <v>7</v>
      </c>
      <c r="AG1246" s="101"/>
      <c r="AH1246" s="102">
        <v>1.0</v>
      </c>
    </row>
    <row r="1247" ht="14.25" customHeight="1">
      <c r="A1247" s="72" t="s">
        <v>20</v>
      </c>
      <c r="B1247" s="73"/>
      <c r="C1247" s="69">
        <v>3.0</v>
      </c>
      <c r="D1247" s="100" t="s">
        <v>166</v>
      </c>
      <c r="E1247" s="101">
        <v>1.0</v>
      </c>
      <c r="F1247" s="102"/>
      <c r="H1247" s="72" t="s">
        <v>17</v>
      </c>
      <c r="I1247" s="73"/>
      <c r="J1247" s="69"/>
      <c r="K1247" s="100" t="s">
        <v>14</v>
      </c>
      <c r="L1247" s="101"/>
      <c r="M1247" s="102"/>
      <c r="O1247" s="72" t="s">
        <v>17</v>
      </c>
      <c r="P1247" s="73">
        <v>1.0</v>
      </c>
      <c r="Q1247" s="69">
        <v>1.0</v>
      </c>
      <c r="R1247" s="100" t="s">
        <v>10</v>
      </c>
      <c r="S1247" s="101"/>
      <c r="T1247" s="102"/>
      <c r="V1247" s="72" t="s">
        <v>14</v>
      </c>
      <c r="W1247" s="73">
        <v>1.0</v>
      </c>
      <c r="X1247" s="69">
        <v>2.0</v>
      </c>
      <c r="Y1247" s="100" t="s">
        <v>7</v>
      </c>
      <c r="Z1247" s="101"/>
      <c r="AA1247" s="102">
        <v>1.0</v>
      </c>
      <c r="AC1247" s="72" t="s">
        <v>4</v>
      </c>
      <c r="AD1247" s="73"/>
      <c r="AE1247" s="69">
        <v>1.0</v>
      </c>
      <c r="AF1247" s="100" t="s">
        <v>18</v>
      </c>
      <c r="AG1247" s="101">
        <v>1.0</v>
      </c>
      <c r="AH1247" s="102"/>
    </row>
    <row r="1248" ht="14.25" customHeight="1">
      <c r="A1248" s="77" t="s">
        <v>4</v>
      </c>
      <c r="B1248" s="78">
        <v>2.0</v>
      </c>
      <c r="C1248" s="82"/>
      <c r="D1248" s="103" t="s">
        <v>5</v>
      </c>
      <c r="E1248" s="104">
        <v>2.0</v>
      </c>
      <c r="F1248" s="105">
        <v>1.0</v>
      </c>
      <c r="H1248" s="77" t="s">
        <v>5</v>
      </c>
      <c r="I1248" s="78">
        <v>1.0</v>
      </c>
      <c r="J1248" s="82"/>
      <c r="K1248" s="103" t="s">
        <v>4</v>
      </c>
      <c r="L1248" s="104">
        <v>1.0</v>
      </c>
      <c r="M1248" s="105"/>
      <c r="O1248" s="77" t="s">
        <v>153</v>
      </c>
      <c r="P1248" s="78">
        <v>1.0</v>
      </c>
      <c r="Q1248" s="82">
        <v>2.0</v>
      </c>
      <c r="R1248" s="103" t="s">
        <v>278</v>
      </c>
      <c r="S1248" s="104">
        <v>2.0</v>
      </c>
      <c r="T1248" s="105">
        <v>1.0</v>
      </c>
      <c r="V1248" s="77" t="s">
        <v>5</v>
      </c>
      <c r="W1248" s="78">
        <v>1.0</v>
      </c>
      <c r="X1248" s="82">
        <v>1.0</v>
      </c>
      <c r="Y1248" s="103" t="s">
        <v>210</v>
      </c>
      <c r="Z1248" s="104"/>
      <c r="AA1248" s="105"/>
      <c r="AC1248" s="77" t="s">
        <v>296</v>
      </c>
      <c r="AD1248" s="78">
        <v>1.0</v>
      </c>
      <c r="AE1248" s="82">
        <v>1.0</v>
      </c>
      <c r="AF1248" s="103" t="s">
        <v>24</v>
      </c>
      <c r="AG1248" s="104">
        <v>1.0</v>
      </c>
      <c r="AH1248" s="105">
        <v>1.0</v>
      </c>
    </row>
    <row r="1249" ht="14.25" customHeight="1"/>
    <row r="1250" ht="14.25" customHeight="1">
      <c r="AC1250" s="224"/>
    </row>
    <row r="1251" ht="14.25" customHeight="1">
      <c r="V1251" s="90"/>
      <c r="W1251" s="90"/>
      <c r="X1251" s="90"/>
      <c r="Y1251" s="90"/>
      <c r="Z1251" s="90"/>
      <c r="AC1251" s="224"/>
    </row>
    <row r="1252" ht="14.25" customHeight="1">
      <c r="A1252" s="146"/>
      <c r="B1252" s="146"/>
      <c r="C1252" s="146"/>
      <c r="D1252" s="51" t="s">
        <v>377</v>
      </c>
      <c r="E1252" s="2"/>
      <c r="F1252" s="2"/>
      <c r="G1252" s="2"/>
      <c r="H1252" s="3"/>
      <c r="O1252" s="135"/>
      <c r="V1252" s="55" t="s">
        <v>3</v>
      </c>
      <c r="W1252" s="2"/>
      <c r="X1252" s="3"/>
      <c r="Y1252" s="56">
        <f>A1242+D1242+H1242+K1242+O1242+R1242+V1242+Y1242+AC1242+AF1242</f>
        <v>47</v>
      </c>
      <c r="Z1252" s="3"/>
    </row>
    <row r="1253" ht="14.25" customHeight="1"/>
    <row r="1254" ht="14.25" customHeight="1">
      <c r="D1254" s="52" t="s">
        <v>277</v>
      </c>
      <c r="E1254" s="52">
        <v>8.0</v>
      </c>
      <c r="H1254" s="52" t="s">
        <v>91</v>
      </c>
      <c r="I1254" s="52">
        <v>2.0</v>
      </c>
    </row>
    <row r="1255" ht="14.25" customHeight="1">
      <c r="D1255" s="52" t="s">
        <v>203</v>
      </c>
      <c r="E1255" s="52">
        <v>7.0</v>
      </c>
      <c r="H1255" s="52" t="s">
        <v>378</v>
      </c>
      <c r="I1255" s="52">
        <v>2.0</v>
      </c>
    </row>
    <row r="1256" ht="14.25" customHeight="1">
      <c r="D1256" s="52" t="s">
        <v>36</v>
      </c>
      <c r="E1256" s="52">
        <v>6.0</v>
      </c>
      <c r="H1256" s="52" t="s">
        <v>29</v>
      </c>
      <c r="I1256" s="52">
        <v>1.0</v>
      </c>
    </row>
    <row r="1257" ht="14.25" customHeight="1">
      <c r="D1257" s="52" t="s">
        <v>8</v>
      </c>
      <c r="E1257" s="52">
        <v>5.0</v>
      </c>
      <c r="H1257" s="52" t="s">
        <v>82</v>
      </c>
      <c r="I1257" s="52">
        <v>1.0</v>
      </c>
    </row>
    <row r="1258" ht="14.25" customHeight="1">
      <c r="D1258" s="52" t="s">
        <v>38</v>
      </c>
      <c r="E1258" s="52">
        <v>3.0</v>
      </c>
      <c r="H1258" s="52" t="s">
        <v>297</v>
      </c>
      <c r="I1258" s="52">
        <v>1.0</v>
      </c>
    </row>
    <row r="1259" ht="14.25" customHeight="1">
      <c r="D1259" s="52" t="s">
        <v>49</v>
      </c>
      <c r="E1259" s="52">
        <v>3.0</v>
      </c>
      <c r="H1259" s="52" t="s">
        <v>232</v>
      </c>
      <c r="I1259" s="52">
        <v>1.0</v>
      </c>
    </row>
    <row r="1260" ht="14.25" customHeight="1">
      <c r="D1260" s="52" t="s">
        <v>61</v>
      </c>
      <c r="E1260" s="52">
        <v>3.0</v>
      </c>
      <c r="H1260" s="52" t="s">
        <v>266</v>
      </c>
      <c r="I1260" s="52">
        <v>1.0</v>
      </c>
    </row>
    <row r="1261" ht="14.25" customHeight="1">
      <c r="D1261" s="52" t="s">
        <v>35</v>
      </c>
      <c r="E1261" s="52">
        <v>3.0</v>
      </c>
    </row>
    <row r="1262" ht="14.25" customHeight="1"/>
    <row r="1263" ht="14.25" customHeight="1"/>
    <row r="1264" ht="14.25" customHeight="1">
      <c r="P1264" s="8">
        <v>45931.0</v>
      </c>
      <c r="Q1264" s="2"/>
      <c r="R1264" s="2"/>
      <c r="S1264" s="3"/>
    </row>
    <row r="1265" ht="14.25" customHeight="1">
      <c r="D1265" s="225"/>
      <c r="R1265" s="225"/>
      <c r="Y1265" s="225"/>
    </row>
    <row r="1266" ht="14.25" customHeight="1">
      <c r="A1266" s="9">
        <v>6.0</v>
      </c>
      <c r="B1266" s="10">
        <v>45937.0</v>
      </c>
      <c r="C1266" s="2"/>
      <c r="D1266" s="2"/>
      <c r="E1266" s="2"/>
      <c r="F1266" s="3"/>
      <c r="H1266" s="9">
        <v>7.0</v>
      </c>
      <c r="I1266" s="10">
        <v>45944.0</v>
      </c>
      <c r="J1266" s="2"/>
      <c r="K1266" s="2"/>
      <c r="L1266" s="2"/>
      <c r="M1266" s="3"/>
      <c r="O1266" s="9">
        <v>8.0</v>
      </c>
      <c r="P1266" s="10">
        <v>45951.0</v>
      </c>
      <c r="Q1266" s="2"/>
      <c r="R1266" s="2"/>
      <c r="S1266" s="2"/>
      <c r="T1266" s="3"/>
      <c r="V1266" s="9">
        <v>9.0</v>
      </c>
      <c r="W1266" s="10">
        <v>45958.0</v>
      </c>
      <c r="X1266" s="2"/>
      <c r="Y1266" s="2"/>
      <c r="Z1266" s="2"/>
      <c r="AA1266" s="3"/>
      <c r="AC1266" s="51" t="s">
        <v>379</v>
      </c>
      <c r="AD1266" s="2"/>
      <c r="AE1266" s="2"/>
      <c r="AF1266" s="2"/>
      <c r="AG1266" s="3"/>
    </row>
    <row r="1267" ht="14.25" customHeight="1">
      <c r="A1267" s="14">
        <v>9.0</v>
      </c>
      <c r="B1267" s="2"/>
      <c r="C1267" s="3"/>
      <c r="D1267" s="39">
        <v>4.0</v>
      </c>
      <c r="E1267" s="2"/>
      <c r="F1267" s="3"/>
      <c r="H1267" s="14">
        <v>5.0</v>
      </c>
      <c r="I1267" s="2"/>
      <c r="J1267" s="3"/>
      <c r="K1267" s="39">
        <v>4.0</v>
      </c>
      <c r="L1267" s="2"/>
      <c r="M1267" s="3"/>
      <c r="O1267" s="14">
        <v>3.0</v>
      </c>
      <c r="P1267" s="2"/>
      <c r="Q1267" s="3"/>
      <c r="R1267" s="39">
        <v>4.0</v>
      </c>
      <c r="S1267" s="2"/>
      <c r="T1267" s="3"/>
      <c r="V1267" s="14">
        <v>8.0</v>
      </c>
      <c r="W1267" s="2"/>
      <c r="X1267" s="3"/>
      <c r="Y1267" s="39">
        <v>4.0</v>
      </c>
      <c r="Z1267" s="2"/>
      <c r="AA1267" s="3"/>
    </row>
    <row r="1268" ht="12.0" customHeight="1">
      <c r="A1268" s="60"/>
      <c r="B1268" s="61" t="s">
        <v>69</v>
      </c>
      <c r="C1268" s="62" t="s">
        <v>70</v>
      </c>
      <c r="D1268" s="94"/>
      <c r="E1268" s="95" t="s">
        <v>69</v>
      </c>
      <c r="F1268" s="96" t="s">
        <v>70</v>
      </c>
      <c r="H1268" s="66"/>
      <c r="I1268" s="61" t="s">
        <v>69</v>
      </c>
      <c r="J1268" s="62" t="s">
        <v>70</v>
      </c>
      <c r="K1268" s="94"/>
      <c r="L1268" s="95" t="s">
        <v>69</v>
      </c>
      <c r="M1268" s="96" t="s">
        <v>70</v>
      </c>
      <c r="O1268" s="66"/>
      <c r="P1268" s="61" t="s">
        <v>69</v>
      </c>
      <c r="Q1268" s="62" t="s">
        <v>70</v>
      </c>
      <c r="R1268" s="94"/>
      <c r="S1268" s="95" t="s">
        <v>69</v>
      </c>
      <c r="T1268" s="96" t="s">
        <v>70</v>
      </c>
      <c r="V1268" s="66"/>
      <c r="W1268" s="61" t="s">
        <v>69</v>
      </c>
      <c r="X1268" s="62" t="s">
        <v>70</v>
      </c>
      <c r="Y1268" s="94"/>
      <c r="Z1268" s="95" t="s">
        <v>69</v>
      </c>
      <c r="AA1268" s="96" t="s">
        <v>70</v>
      </c>
      <c r="AC1268" s="52" t="s">
        <v>277</v>
      </c>
      <c r="AD1268" s="52">
        <v>7.0</v>
      </c>
      <c r="AF1268" s="52" t="s">
        <v>203</v>
      </c>
      <c r="AG1268" s="52">
        <v>2.0</v>
      </c>
    </row>
    <row r="1269" ht="14.25" customHeight="1">
      <c r="A1269" s="67" t="s">
        <v>263</v>
      </c>
      <c r="B1269" s="68">
        <v>2.0</v>
      </c>
      <c r="C1269" s="69">
        <v>1.0</v>
      </c>
      <c r="D1269" s="97" t="s">
        <v>18</v>
      </c>
      <c r="E1269" s="98"/>
      <c r="F1269" s="99"/>
      <c r="H1269" s="67" t="s">
        <v>5</v>
      </c>
      <c r="I1269" s="68"/>
      <c r="J1269" s="69">
        <v>1.0</v>
      </c>
      <c r="K1269" s="97" t="s">
        <v>278</v>
      </c>
      <c r="L1269" s="98">
        <v>2.0</v>
      </c>
      <c r="M1269" s="99">
        <v>1.0</v>
      </c>
      <c r="O1269" s="67" t="s">
        <v>10</v>
      </c>
      <c r="P1269" s="68">
        <v>1.0</v>
      </c>
      <c r="Q1269" s="69">
        <v>1.0</v>
      </c>
      <c r="R1269" s="97" t="s">
        <v>7</v>
      </c>
      <c r="S1269" s="98"/>
      <c r="T1269" s="99">
        <v>2.0</v>
      </c>
      <c r="V1269" s="67" t="s">
        <v>263</v>
      </c>
      <c r="W1269" s="68">
        <v>1.0</v>
      </c>
      <c r="X1269" s="69">
        <v>2.0</v>
      </c>
      <c r="Y1269" s="97" t="s">
        <v>10</v>
      </c>
      <c r="Z1269" s="98"/>
      <c r="AA1269" s="99">
        <v>1.0</v>
      </c>
      <c r="AC1269" s="52" t="s">
        <v>36</v>
      </c>
      <c r="AD1269" s="52">
        <v>5.0</v>
      </c>
      <c r="AF1269" s="52" t="s">
        <v>41</v>
      </c>
      <c r="AG1269" s="52">
        <v>2.0</v>
      </c>
    </row>
    <row r="1270" ht="14.25" customHeight="1">
      <c r="A1270" s="72" t="s">
        <v>5</v>
      </c>
      <c r="B1270" s="73">
        <v>1.0</v>
      </c>
      <c r="C1270" s="69">
        <v>1.0</v>
      </c>
      <c r="D1270" s="100" t="s">
        <v>166</v>
      </c>
      <c r="E1270" s="101"/>
      <c r="F1270" s="102"/>
      <c r="H1270" s="72" t="s">
        <v>14</v>
      </c>
      <c r="I1270" s="73">
        <v>1.0</v>
      </c>
      <c r="J1270" s="69"/>
      <c r="K1270" s="100" t="s">
        <v>296</v>
      </c>
      <c r="L1270" s="101">
        <v>1.0</v>
      </c>
      <c r="M1270" s="102">
        <v>1.0</v>
      </c>
      <c r="O1270" s="72" t="s">
        <v>278</v>
      </c>
      <c r="P1270" s="73">
        <v>2.0</v>
      </c>
      <c r="Q1270" s="69"/>
      <c r="R1270" s="100" t="s">
        <v>17</v>
      </c>
      <c r="S1270" s="101"/>
      <c r="T1270" s="102">
        <v>1.0</v>
      </c>
      <c r="V1270" s="72" t="s">
        <v>5</v>
      </c>
      <c r="W1270" s="73"/>
      <c r="X1270" s="69">
        <v>4.0</v>
      </c>
      <c r="Y1270" s="100" t="s">
        <v>278</v>
      </c>
      <c r="Z1270" s="101">
        <v>1.0</v>
      </c>
      <c r="AA1270" s="102"/>
      <c r="AC1270" s="52" t="s">
        <v>29</v>
      </c>
      <c r="AD1270" s="52">
        <v>4.0</v>
      </c>
      <c r="AF1270" s="52" t="s">
        <v>82</v>
      </c>
      <c r="AG1270" s="52">
        <v>2.0</v>
      </c>
    </row>
    <row r="1271" ht="14.25" customHeight="1">
      <c r="A1271" s="72" t="s">
        <v>17</v>
      </c>
      <c r="B1271" s="73">
        <v>2.0</v>
      </c>
      <c r="C1271" s="69">
        <v>4.0</v>
      </c>
      <c r="D1271" s="100" t="s">
        <v>278</v>
      </c>
      <c r="E1271" s="101">
        <v>2.0</v>
      </c>
      <c r="F1271" s="102"/>
      <c r="H1271" s="72" t="s">
        <v>18</v>
      </c>
      <c r="I1271" s="73">
        <v>1.0</v>
      </c>
      <c r="J1271" s="69">
        <v>1.0</v>
      </c>
      <c r="K1271" s="100" t="s">
        <v>166</v>
      </c>
      <c r="L1271" s="101"/>
      <c r="M1271" s="102"/>
      <c r="O1271" s="72" t="s">
        <v>263</v>
      </c>
      <c r="P1271" s="73"/>
      <c r="Q1271" s="69">
        <v>1.0</v>
      </c>
      <c r="R1271" s="100" t="s">
        <v>24</v>
      </c>
      <c r="S1271" s="101"/>
      <c r="T1271" s="102"/>
      <c r="V1271" s="72" t="s">
        <v>14</v>
      </c>
      <c r="W1271" s="73">
        <v>1.0</v>
      </c>
      <c r="X1271" s="69">
        <v>1.0</v>
      </c>
      <c r="Y1271" s="100" t="s">
        <v>18</v>
      </c>
      <c r="Z1271" s="101"/>
      <c r="AA1271" s="102"/>
      <c r="AC1271" s="52" t="s">
        <v>35</v>
      </c>
      <c r="AD1271" s="52">
        <v>4.0</v>
      </c>
      <c r="AF1271" s="52" t="s">
        <v>297</v>
      </c>
      <c r="AG1271" s="52">
        <v>1.0</v>
      </c>
    </row>
    <row r="1272" ht="14.25" customHeight="1">
      <c r="A1272" s="72" t="s">
        <v>14</v>
      </c>
      <c r="B1272" s="73">
        <v>3.0</v>
      </c>
      <c r="C1272" s="69"/>
      <c r="D1272" s="100" t="s">
        <v>4</v>
      </c>
      <c r="E1272" s="101"/>
      <c r="F1272" s="102">
        <v>2.0</v>
      </c>
      <c r="H1272" s="72" t="s">
        <v>17</v>
      </c>
      <c r="I1272" s="73">
        <v>1.0</v>
      </c>
      <c r="J1272" s="69"/>
      <c r="K1272" s="100" t="s">
        <v>263</v>
      </c>
      <c r="L1272" s="101"/>
      <c r="M1272" s="102"/>
      <c r="O1272" s="72" t="s">
        <v>166</v>
      </c>
      <c r="P1272" s="73"/>
      <c r="Q1272" s="69"/>
      <c r="R1272" s="100" t="s">
        <v>5</v>
      </c>
      <c r="S1272" s="101">
        <v>2.0</v>
      </c>
      <c r="T1272" s="102">
        <v>1.0</v>
      </c>
      <c r="V1272" s="72" t="s">
        <v>24</v>
      </c>
      <c r="W1272" s="73">
        <v>4.0</v>
      </c>
      <c r="X1272" s="69"/>
      <c r="Y1272" s="100" t="s">
        <v>166</v>
      </c>
      <c r="Z1272" s="101">
        <v>2.0</v>
      </c>
      <c r="AA1272" s="102"/>
      <c r="AC1272" s="52" t="s">
        <v>8</v>
      </c>
      <c r="AD1272" s="52">
        <v>3.0</v>
      </c>
      <c r="AF1272" s="52" t="s">
        <v>91</v>
      </c>
      <c r="AG1272" s="52">
        <v>1.0</v>
      </c>
    </row>
    <row r="1273" ht="14.25" customHeight="1">
      <c r="A1273" s="77" t="s">
        <v>296</v>
      </c>
      <c r="B1273" s="78"/>
      <c r="C1273" s="82">
        <v>2.0</v>
      </c>
      <c r="D1273" s="103" t="s">
        <v>7</v>
      </c>
      <c r="E1273" s="104">
        <v>2.0</v>
      </c>
      <c r="F1273" s="105">
        <v>1.0</v>
      </c>
      <c r="H1273" s="77" t="s">
        <v>10</v>
      </c>
      <c r="I1273" s="78">
        <v>1.0</v>
      </c>
      <c r="J1273" s="190"/>
      <c r="K1273" s="103" t="s">
        <v>24</v>
      </c>
      <c r="L1273" s="104"/>
      <c r="M1273" s="105"/>
      <c r="O1273" s="77" t="s">
        <v>210</v>
      </c>
      <c r="P1273" s="78"/>
      <c r="Q1273" s="190"/>
      <c r="R1273" s="103" t="s">
        <v>11</v>
      </c>
      <c r="S1273" s="104">
        <v>2.0</v>
      </c>
      <c r="T1273" s="105"/>
      <c r="V1273" s="77" t="s">
        <v>7</v>
      </c>
      <c r="W1273" s="78">
        <v>2.0</v>
      </c>
      <c r="X1273" s="190">
        <v>1.0</v>
      </c>
      <c r="Y1273" s="103" t="s">
        <v>4</v>
      </c>
      <c r="Z1273" s="104">
        <v>1.0</v>
      </c>
      <c r="AA1273" s="105">
        <v>2.0</v>
      </c>
      <c r="AC1273" s="52" t="s">
        <v>61</v>
      </c>
      <c r="AD1273" s="52">
        <v>3.0</v>
      </c>
      <c r="AF1273" s="52" t="s">
        <v>49</v>
      </c>
      <c r="AG1273" s="52">
        <v>1.0</v>
      </c>
    </row>
    <row r="1274" ht="14.25" customHeight="1">
      <c r="A1274" s="77" t="s">
        <v>114</v>
      </c>
      <c r="B1274" s="78">
        <v>1.0</v>
      </c>
      <c r="H1274" s="77" t="s">
        <v>380</v>
      </c>
      <c r="I1274" s="78">
        <v>1.0</v>
      </c>
      <c r="K1274" s="129" t="s">
        <v>367</v>
      </c>
      <c r="L1274" s="104">
        <v>1.0</v>
      </c>
      <c r="AC1274" s="52" t="s">
        <v>267</v>
      </c>
      <c r="AD1274" s="52">
        <v>3.0</v>
      </c>
    </row>
    <row r="1275" ht="14.25" customHeight="1">
      <c r="Y1275" s="90"/>
      <c r="Z1275" s="90"/>
      <c r="AF1275" s="52" t="s">
        <v>144</v>
      </c>
      <c r="AG1275" s="52">
        <v>1.0</v>
      </c>
    </row>
    <row r="1276" ht="14.25" customHeight="1">
      <c r="Y1276" s="56">
        <f>A1267+D1267+H1267+K1267+O1267+R1267+V1267+Y1267</f>
        <v>41</v>
      </c>
      <c r="Z1276" s="3"/>
      <c r="AF1276" s="52" t="s">
        <v>381</v>
      </c>
      <c r="AG1276" s="52">
        <v>1.0</v>
      </c>
    </row>
    <row r="1277" ht="14.25" customHeight="1">
      <c r="AF1277" s="52" t="s">
        <v>114</v>
      </c>
      <c r="AG1277" s="52">
        <v>1.0</v>
      </c>
    </row>
    <row r="1278" ht="14.25" customHeight="1"/>
    <row r="1279" ht="14.25" customHeight="1"/>
    <row r="1280" ht="14.25" customHeight="1"/>
    <row r="1281" ht="14.25" customHeight="1">
      <c r="P1281" s="8">
        <v>45962.0</v>
      </c>
      <c r="Q1281" s="2"/>
      <c r="R1281" s="2"/>
      <c r="S1281" s="3"/>
    </row>
    <row r="1282" ht="14.25" customHeight="1">
      <c r="D1282" s="225"/>
      <c r="R1282" s="225"/>
      <c r="Y1282" s="225"/>
    </row>
    <row r="1283" ht="14.25" customHeight="1">
      <c r="A1283" s="9">
        <v>10.0</v>
      </c>
      <c r="B1283" s="10">
        <v>45965.0</v>
      </c>
      <c r="C1283" s="2"/>
      <c r="D1283" s="2"/>
      <c r="E1283" s="2"/>
      <c r="F1283" s="3"/>
      <c r="H1283" s="9">
        <v>11.0</v>
      </c>
      <c r="I1283" s="10">
        <v>45972.0</v>
      </c>
      <c r="J1283" s="2"/>
      <c r="K1283" s="2"/>
      <c r="L1283" s="2"/>
      <c r="M1283" s="3"/>
      <c r="O1283" s="9">
        <v>12.0</v>
      </c>
      <c r="P1283" s="10">
        <v>45979.0</v>
      </c>
      <c r="Q1283" s="2"/>
      <c r="R1283" s="2"/>
      <c r="S1283" s="2"/>
      <c r="T1283" s="3"/>
      <c r="V1283" s="9">
        <v>13.0</v>
      </c>
      <c r="W1283" s="10">
        <v>45986.0</v>
      </c>
      <c r="X1283" s="2"/>
      <c r="Y1283" s="2"/>
      <c r="Z1283" s="2"/>
      <c r="AA1283" s="3"/>
      <c r="AC1283" s="51" t="s">
        <v>382</v>
      </c>
      <c r="AD1283" s="2"/>
      <c r="AE1283" s="2"/>
      <c r="AF1283" s="2"/>
      <c r="AG1283" s="3"/>
    </row>
    <row r="1284" ht="14.25" customHeight="1">
      <c r="A1284" s="14">
        <v>6.0</v>
      </c>
      <c r="B1284" s="2"/>
      <c r="C1284" s="3"/>
      <c r="D1284" s="39">
        <v>5.0</v>
      </c>
      <c r="E1284" s="2"/>
      <c r="F1284" s="3"/>
      <c r="H1284" s="14">
        <v>4.0</v>
      </c>
      <c r="I1284" s="2"/>
      <c r="J1284" s="3"/>
      <c r="K1284" s="39">
        <v>2.0</v>
      </c>
      <c r="L1284" s="2"/>
      <c r="M1284" s="3"/>
      <c r="O1284" s="14">
        <v>3.0</v>
      </c>
      <c r="P1284" s="2"/>
      <c r="Q1284" s="3"/>
      <c r="R1284" s="39">
        <v>6.0</v>
      </c>
      <c r="S1284" s="2"/>
      <c r="T1284" s="3"/>
      <c r="V1284" s="14">
        <v>5.0</v>
      </c>
      <c r="W1284" s="2"/>
      <c r="X1284" s="3"/>
      <c r="Y1284" s="39">
        <v>6.0</v>
      </c>
      <c r="Z1284" s="2"/>
      <c r="AA1284" s="3"/>
    </row>
    <row r="1285" ht="12.75" customHeight="1">
      <c r="A1285" s="60"/>
      <c r="B1285" s="61" t="s">
        <v>69</v>
      </c>
      <c r="C1285" s="62" t="s">
        <v>70</v>
      </c>
      <c r="D1285" s="94"/>
      <c r="E1285" s="95" t="s">
        <v>69</v>
      </c>
      <c r="F1285" s="96" t="s">
        <v>70</v>
      </c>
      <c r="H1285" s="66"/>
      <c r="I1285" s="61" t="s">
        <v>69</v>
      </c>
      <c r="J1285" s="62" t="s">
        <v>70</v>
      </c>
      <c r="K1285" s="94"/>
      <c r="L1285" s="95" t="s">
        <v>69</v>
      </c>
      <c r="M1285" s="96" t="s">
        <v>70</v>
      </c>
      <c r="O1285" s="66"/>
      <c r="P1285" s="61" t="s">
        <v>69</v>
      </c>
      <c r="Q1285" s="62" t="s">
        <v>70</v>
      </c>
      <c r="R1285" s="94"/>
      <c r="S1285" s="95" t="s">
        <v>69</v>
      </c>
      <c r="T1285" s="96" t="s">
        <v>70</v>
      </c>
      <c r="V1285" s="66"/>
      <c r="W1285" s="61" t="s">
        <v>69</v>
      </c>
      <c r="X1285" s="62" t="s">
        <v>70</v>
      </c>
      <c r="Y1285" s="94"/>
      <c r="Z1285" s="95" t="s">
        <v>69</v>
      </c>
      <c r="AA1285" s="96" t="s">
        <v>70</v>
      </c>
      <c r="AC1285" s="52" t="s">
        <v>8</v>
      </c>
      <c r="AD1285" s="52">
        <v>8.0</v>
      </c>
      <c r="AF1285" s="52" t="s">
        <v>267</v>
      </c>
      <c r="AG1285" s="52">
        <v>2.0</v>
      </c>
    </row>
    <row r="1286" ht="14.25" customHeight="1">
      <c r="A1286" s="67" t="s">
        <v>10</v>
      </c>
      <c r="B1286" s="68"/>
      <c r="C1286" s="69">
        <v>2.0</v>
      </c>
      <c r="D1286" s="97" t="s">
        <v>4</v>
      </c>
      <c r="E1286" s="98"/>
      <c r="F1286" s="99">
        <v>1.0</v>
      </c>
      <c r="H1286" s="67" t="s">
        <v>10</v>
      </c>
      <c r="I1286" s="68"/>
      <c r="J1286" s="69">
        <v>1.0</v>
      </c>
      <c r="K1286" s="97" t="s">
        <v>18</v>
      </c>
      <c r="L1286" s="98"/>
      <c r="M1286" s="99"/>
      <c r="O1286" s="67" t="s">
        <v>296</v>
      </c>
      <c r="P1286" s="68">
        <v>1.0</v>
      </c>
      <c r="Q1286" s="69"/>
      <c r="R1286" s="97" t="s">
        <v>10</v>
      </c>
      <c r="S1286" s="98"/>
      <c r="T1286" s="99"/>
      <c r="V1286" s="67" t="s">
        <v>4</v>
      </c>
      <c r="W1286" s="68">
        <v>2.0</v>
      </c>
      <c r="X1286" s="69"/>
      <c r="Y1286" s="97" t="s">
        <v>10</v>
      </c>
      <c r="Z1286" s="98"/>
      <c r="AA1286" s="99"/>
      <c r="AC1286" s="52" t="s">
        <v>29</v>
      </c>
      <c r="AD1286" s="52">
        <v>5.0</v>
      </c>
      <c r="AF1286" s="52" t="s">
        <v>383</v>
      </c>
      <c r="AG1286" s="52">
        <v>2.0</v>
      </c>
    </row>
    <row r="1287" ht="14.25" customHeight="1">
      <c r="A1287" s="72" t="s">
        <v>14</v>
      </c>
      <c r="B1287" s="73">
        <v>1.0</v>
      </c>
      <c r="C1287" s="69"/>
      <c r="D1287" s="100" t="s">
        <v>278</v>
      </c>
      <c r="E1287" s="101">
        <v>2.0</v>
      </c>
      <c r="F1287" s="102">
        <v>1.0</v>
      </c>
      <c r="H1287" s="72" t="s">
        <v>17</v>
      </c>
      <c r="I1287" s="73">
        <v>1.0</v>
      </c>
      <c r="J1287" s="69"/>
      <c r="K1287" s="100" t="s">
        <v>278</v>
      </c>
      <c r="L1287" s="101">
        <v>1.0</v>
      </c>
      <c r="M1287" s="102"/>
      <c r="O1287" s="72" t="s">
        <v>263</v>
      </c>
      <c r="P1287" s="73"/>
      <c r="Q1287" s="69">
        <v>1.0</v>
      </c>
      <c r="R1287" s="100" t="s">
        <v>14</v>
      </c>
      <c r="S1287" s="101"/>
      <c r="T1287" s="102"/>
      <c r="V1287" s="72" t="s">
        <v>166</v>
      </c>
      <c r="W1287" s="73">
        <v>2.0</v>
      </c>
      <c r="X1287" s="69">
        <v>1.0</v>
      </c>
      <c r="Y1287" s="100" t="s">
        <v>7</v>
      </c>
      <c r="Z1287" s="101">
        <v>1.0</v>
      </c>
      <c r="AA1287" s="102"/>
      <c r="AC1287" s="52" t="s">
        <v>61</v>
      </c>
      <c r="AD1287" s="52">
        <v>4.0</v>
      </c>
      <c r="AF1287" s="52" t="s">
        <v>297</v>
      </c>
      <c r="AG1287" s="52">
        <v>1.0</v>
      </c>
    </row>
    <row r="1288" ht="14.25" customHeight="1">
      <c r="A1288" s="72" t="s">
        <v>5</v>
      </c>
      <c r="B1288" s="73">
        <v>3.0</v>
      </c>
      <c r="C1288" s="69">
        <v>2.0</v>
      </c>
      <c r="D1288" s="100" t="s">
        <v>24</v>
      </c>
      <c r="E1288" s="101">
        <v>2.0</v>
      </c>
      <c r="F1288" s="102">
        <v>1.0</v>
      </c>
      <c r="H1288" s="72" t="s">
        <v>5</v>
      </c>
      <c r="I1288" s="73">
        <v>1.0</v>
      </c>
      <c r="J1288" s="69">
        <v>1.0</v>
      </c>
      <c r="K1288" s="100" t="s">
        <v>153</v>
      </c>
      <c r="L1288" s="101"/>
      <c r="M1288" s="102">
        <v>1.0</v>
      </c>
      <c r="O1288" s="72" t="s">
        <v>166</v>
      </c>
      <c r="P1288" s="73">
        <v>1.0</v>
      </c>
      <c r="Q1288" s="69">
        <v>1.0</v>
      </c>
      <c r="R1288" s="100" t="s">
        <v>5</v>
      </c>
      <c r="S1288" s="101">
        <v>2.0</v>
      </c>
      <c r="T1288" s="102">
        <v>1.0</v>
      </c>
      <c r="V1288" s="72" t="s">
        <v>18</v>
      </c>
      <c r="W1288" s="73"/>
      <c r="X1288" s="69"/>
      <c r="Y1288" s="100" t="s">
        <v>24</v>
      </c>
      <c r="Z1288" s="101">
        <v>1.0</v>
      </c>
      <c r="AA1288" s="102">
        <v>1.0</v>
      </c>
      <c r="AC1288" s="52" t="s">
        <v>277</v>
      </c>
      <c r="AD1288" s="52">
        <v>3.0</v>
      </c>
      <c r="AF1288" s="52" t="s">
        <v>91</v>
      </c>
      <c r="AG1288" s="52">
        <v>1.0</v>
      </c>
    </row>
    <row r="1289" ht="14.25" customHeight="1">
      <c r="A1289" s="72" t="s">
        <v>17</v>
      </c>
      <c r="B1289" s="73">
        <v>1.0</v>
      </c>
      <c r="C1289" s="69"/>
      <c r="D1289" s="100" t="s">
        <v>20</v>
      </c>
      <c r="E1289" s="101"/>
      <c r="F1289" s="102">
        <v>1.0</v>
      </c>
      <c r="H1289" s="72" t="s">
        <v>296</v>
      </c>
      <c r="I1289" s="73"/>
      <c r="J1289" s="69">
        <v>1.0</v>
      </c>
      <c r="K1289" s="100" t="s">
        <v>4</v>
      </c>
      <c r="L1289" s="101"/>
      <c r="M1289" s="102">
        <v>1.0</v>
      </c>
      <c r="O1289" s="72" t="s">
        <v>18</v>
      </c>
      <c r="P1289" s="73"/>
      <c r="Q1289" s="69"/>
      <c r="R1289" s="100" t="s">
        <v>17</v>
      </c>
      <c r="S1289" s="101">
        <v>2.0</v>
      </c>
      <c r="T1289" s="102"/>
      <c r="V1289" s="72" t="s">
        <v>263</v>
      </c>
      <c r="W1289" s="73">
        <v>1.0</v>
      </c>
      <c r="X1289" s="69">
        <v>1.0</v>
      </c>
      <c r="Y1289" s="100" t="s">
        <v>384</v>
      </c>
      <c r="Z1289" s="101">
        <v>2.0</v>
      </c>
      <c r="AA1289" s="102"/>
      <c r="AC1289" s="52" t="s">
        <v>385</v>
      </c>
      <c r="AD1289" s="52">
        <v>3.0</v>
      </c>
      <c r="AF1289" s="52" t="s">
        <v>36</v>
      </c>
      <c r="AG1289" s="52">
        <v>1.0</v>
      </c>
    </row>
    <row r="1290" ht="14.25" customHeight="1">
      <c r="A1290" s="77" t="s">
        <v>18</v>
      </c>
      <c r="B1290" s="78">
        <v>1.0</v>
      </c>
      <c r="C1290" s="82"/>
      <c r="D1290" s="103" t="s">
        <v>7</v>
      </c>
      <c r="E1290" s="104">
        <v>1.0</v>
      </c>
      <c r="F1290" s="105"/>
      <c r="H1290" s="77" t="s">
        <v>7</v>
      </c>
      <c r="I1290" s="78">
        <v>2.0</v>
      </c>
      <c r="J1290" s="190"/>
      <c r="K1290" s="103" t="s">
        <v>263</v>
      </c>
      <c r="L1290" s="104">
        <v>1.0</v>
      </c>
      <c r="M1290" s="105"/>
      <c r="O1290" s="77" t="s">
        <v>4</v>
      </c>
      <c r="P1290" s="78">
        <v>1.0</v>
      </c>
      <c r="Q1290" s="190"/>
      <c r="R1290" s="103" t="s">
        <v>7</v>
      </c>
      <c r="S1290" s="104">
        <v>1.0</v>
      </c>
      <c r="T1290" s="105">
        <v>2.0</v>
      </c>
      <c r="V1290" s="77" t="s">
        <v>17</v>
      </c>
      <c r="W1290" s="78"/>
      <c r="X1290" s="190">
        <v>3.0</v>
      </c>
      <c r="Y1290" s="103" t="s">
        <v>5</v>
      </c>
      <c r="Z1290" s="104">
        <v>2.0</v>
      </c>
      <c r="AA1290" s="105"/>
      <c r="AC1290" s="52" t="s">
        <v>49</v>
      </c>
      <c r="AD1290" s="52">
        <v>3.0</v>
      </c>
    </row>
    <row r="1291" ht="14.25" customHeight="1">
      <c r="R1291" s="103" t="s">
        <v>114</v>
      </c>
      <c r="S1291" s="104">
        <v>1.0</v>
      </c>
      <c r="AC1291" s="52" t="s">
        <v>203</v>
      </c>
      <c r="AD1291" s="52">
        <v>3.0</v>
      </c>
    </row>
    <row r="1292" ht="14.25" customHeight="1">
      <c r="Y1292" s="90"/>
      <c r="Z1292" s="90"/>
      <c r="AF1292" s="52" t="s">
        <v>114</v>
      </c>
      <c r="AG1292" s="52">
        <v>1.0</v>
      </c>
    </row>
    <row r="1293" ht="14.25" customHeight="1">
      <c r="Y1293" s="56">
        <f>A1284+D1284+H1284+K1284+O1284+R1284+V1284+Y1284</f>
        <v>37</v>
      </c>
      <c r="Z1293" s="3"/>
    </row>
    <row r="1294" ht="14.25" customHeight="1"/>
    <row r="1295" ht="14.25" customHeight="1"/>
    <row r="1296" ht="14.25" customHeight="1"/>
    <row r="1297" ht="14.25" customHeight="1">
      <c r="P1297" s="8">
        <v>45992.0</v>
      </c>
      <c r="Q1297" s="2"/>
      <c r="R1297" s="2"/>
      <c r="S1297" s="3"/>
    </row>
    <row r="1298" ht="14.25" customHeight="1"/>
    <row r="1299" ht="14.25" customHeight="1">
      <c r="A1299" s="9">
        <v>14.0</v>
      </c>
      <c r="B1299" s="10">
        <v>45993.0</v>
      </c>
      <c r="C1299" s="2"/>
      <c r="D1299" s="2"/>
      <c r="E1299" s="2"/>
      <c r="F1299" s="3"/>
      <c r="H1299" s="9">
        <v>15.0</v>
      </c>
      <c r="I1299" s="10">
        <v>46000.0</v>
      </c>
      <c r="J1299" s="2"/>
      <c r="K1299" s="2"/>
      <c r="L1299" s="2"/>
      <c r="M1299" s="3"/>
      <c r="O1299" s="9">
        <v>16.0</v>
      </c>
      <c r="P1299" s="10">
        <v>46007.0</v>
      </c>
      <c r="Q1299" s="2"/>
      <c r="R1299" s="2"/>
      <c r="S1299" s="2"/>
      <c r="T1299" s="3"/>
      <c r="V1299" s="9"/>
      <c r="W1299" s="226" t="s">
        <v>386</v>
      </c>
      <c r="X1299" s="2"/>
      <c r="Y1299" s="2"/>
      <c r="Z1299" s="2"/>
      <c r="AA1299" s="3"/>
      <c r="AC1299" s="9">
        <v>17.0</v>
      </c>
      <c r="AD1299" s="10">
        <v>46021.0</v>
      </c>
      <c r="AE1299" s="2"/>
      <c r="AF1299" s="2"/>
      <c r="AG1299" s="2"/>
      <c r="AH1299" s="3"/>
    </row>
    <row r="1300" ht="14.25" customHeight="1">
      <c r="A1300" s="14">
        <v>10.0</v>
      </c>
      <c r="B1300" s="2"/>
      <c r="C1300" s="3"/>
      <c r="D1300" s="39">
        <v>5.0</v>
      </c>
      <c r="E1300" s="2"/>
      <c r="F1300" s="3"/>
      <c r="H1300" s="14">
        <v>4.0</v>
      </c>
      <c r="I1300" s="2"/>
      <c r="J1300" s="3"/>
      <c r="K1300" s="39">
        <v>9.0</v>
      </c>
      <c r="L1300" s="2"/>
      <c r="M1300" s="3"/>
      <c r="O1300" s="14">
        <v>4.0</v>
      </c>
      <c r="P1300" s="2"/>
      <c r="Q1300" s="3"/>
      <c r="R1300" s="39">
        <v>4.0</v>
      </c>
      <c r="S1300" s="2"/>
      <c r="T1300" s="3"/>
      <c r="V1300" s="204">
        <v>0.0</v>
      </c>
      <c r="W1300" s="2"/>
      <c r="X1300" s="3"/>
      <c r="Y1300" s="204">
        <v>0.0</v>
      </c>
      <c r="Z1300" s="2"/>
      <c r="AA1300" s="3"/>
      <c r="AC1300" s="14">
        <v>4.0</v>
      </c>
      <c r="AD1300" s="2"/>
      <c r="AE1300" s="3"/>
      <c r="AF1300" s="39">
        <v>3.0</v>
      </c>
      <c r="AG1300" s="2"/>
      <c r="AH1300" s="3"/>
    </row>
    <row r="1301" ht="12.0" customHeight="1">
      <c r="A1301" s="66"/>
      <c r="B1301" s="61" t="s">
        <v>69</v>
      </c>
      <c r="C1301" s="62" t="s">
        <v>70</v>
      </c>
      <c r="D1301" s="94"/>
      <c r="E1301" s="95" t="s">
        <v>69</v>
      </c>
      <c r="F1301" s="96" t="s">
        <v>70</v>
      </c>
      <c r="H1301" s="66"/>
      <c r="I1301" s="61" t="s">
        <v>69</v>
      </c>
      <c r="J1301" s="62" t="s">
        <v>70</v>
      </c>
      <c r="K1301" s="94"/>
      <c r="L1301" s="95" t="s">
        <v>69</v>
      </c>
      <c r="M1301" s="96" t="s">
        <v>70</v>
      </c>
      <c r="O1301" s="66"/>
      <c r="P1301" s="61" t="s">
        <v>69</v>
      </c>
      <c r="Q1301" s="62" t="s">
        <v>70</v>
      </c>
      <c r="R1301" s="94"/>
      <c r="S1301" s="95" t="s">
        <v>69</v>
      </c>
      <c r="T1301" s="96" t="s">
        <v>70</v>
      </c>
      <c r="V1301" s="177"/>
      <c r="W1301" s="206" t="s">
        <v>69</v>
      </c>
      <c r="X1301" s="206" t="s">
        <v>70</v>
      </c>
      <c r="Y1301" s="177"/>
      <c r="Z1301" s="208" t="s">
        <v>69</v>
      </c>
      <c r="AA1301" s="206" t="s">
        <v>70</v>
      </c>
      <c r="AC1301" s="66"/>
      <c r="AD1301" s="61" t="s">
        <v>69</v>
      </c>
      <c r="AE1301" s="62" t="s">
        <v>70</v>
      </c>
      <c r="AF1301" s="94"/>
      <c r="AG1301" s="95" t="s">
        <v>69</v>
      </c>
      <c r="AH1301" s="96" t="s">
        <v>70</v>
      </c>
    </row>
    <row r="1302" ht="14.25" customHeight="1">
      <c r="A1302" s="67" t="s">
        <v>10</v>
      </c>
      <c r="B1302" s="68"/>
      <c r="C1302" s="69">
        <v>1.0</v>
      </c>
      <c r="D1302" s="97" t="s">
        <v>18</v>
      </c>
      <c r="E1302" s="98"/>
      <c r="F1302" s="99"/>
      <c r="H1302" s="67" t="s">
        <v>18</v>
      </c>
      <c r="I1302" s="68"/>
      <c r="J1302" s="69">
        <v>1.0</v>
      </c>
      <c r="K1302" s="97" t="s">
        <v>10</v>
      </c>
      <c r="L1302" s="98">
        <v>1.0</v>
      </c>
      <c r="M1302" s="99">
        <v>1.0</v>
      </c>
      <c r="O1302" s="67" t="s">
        <v>18</v>
      </c>
      <c r="P1302" s="68"/>
      <c r="Q1302" s="69">
        <v>1.0</v>
      </c>
      <c r="R1302" s="97" t="s">
        <v>5</v>
      </c>
      <c r="S1302" s="98"/>
      <c r="T1302" s="99">
        <v>1.0</v>
      </c>
      <c r="V1302" s="209"/>
      <c r="W1302" s="210"/>
      <c r="X1302" s="217"/>
      <c r="Y1302" s="209"/>
      <c r="Z1302" s="212"/>
      <c r="AA1302" s="213"/>
      <c r="AC1302" s="67" t="s">
        <v>131</v>
      </c>
      <c r="AD1302" s="68">
        <v>2.0</v>
      </c>
      <c r="AE1302" s="69"/>
      <c r="AF1302" s="97" t="s">
        <v>10</v>
      </c>
      <c r="AG1302" s="98"/>
      <c r="AH1302" s="99"/>
    </row>
    <row r="1303" ht="14.25" customHeight="1">
      <c r="A1303" s="72" t="s">
        <v>7</v>
      </c>
      <c r="B1303" s="73">
        <v>1.0</v>
      </c>
      <c r="C1303" s="69">
        <v>2.0</v>
      </c>
      <c r="D1303" s="100" t="s">
        <v>263</v>
      </c>
      <c r="E1303" s="101"/>
      <c r="F1303" s="102">
        <v>2.0</v>
      </c>
      <c r="H1303" s="72" t="s">
        <v>5</v>
      </c>
      <c r="I1303" s="73">
        <v>1.0</v>
      </c>
      <c r="J1303" s="69"/>
      <c r="K1303" s="100" t="s">
        <v>20</v>
      </c>
      <c r="L1303" s="101"/>
      <c r="M1303" s="102">
        <v>3.0</v>
      </c>
      <c r="O1303" s="72" t="s">
        <v>166</v>
      </c>
      <c r="P1303" s="73">
        <v>1.0</v>
      </c>
      <c r="Q1303" s="69"/>
      <c r="R1303" s="100" t="s">
        <v>17</v>
      </c>
      <c r="S1303" s="101">
        <v>1.0</v>
      </c>
      <c r="T1303" s="102">
        <v>2.0</v>
      </c>
      <c r="V1303" s="214"/>
      <c r="W1303" s="215"/>
      <c r="X1303" s="217"/>
      <c r="Y1303" s="214"/>
      <c r="Z1303" s="216"/>
      <c r="AA1303" s="217"/>
      <c r="AC1303" s="72" t="s">
        <v>387</v>
      </c>
      <c r="AD1303" s="73"/>
      <c r="AE1303" s="69">
        <v>2.0</v>
      </c>
      <c r="AF1303" s="100" t="s">
        <v>7</v>
      </c>
      <c r="AG1303" s="101">
        <v>1.0</v>
      </c>
      <c r="AH1303" s="102"/>
    </row>
    <row r="1304" ht="14.25" customHeight="1">
      <c r="A1304" s="72" t="s">
        <v>296</v>
      </c>
      <c r="B1304" s="73">
        <v>5.0</v>
      </c>
      <c r="C1304" s="69">
        <v>1.0</v>
      </c>
      <c r="D1304" s="100" t="s">
        <v>20</v>
      </c>
      <c r="E1304" s="101"/>
      <c r="F1304" s="102"/>
      <c r="H1304" s="72" t="s">
        <v>24</v>
      </c>
      <c r="I1304" s="73"/>
      <c r="J1304" s="69"/>
      <c r="K1304" s="100" t="s">
        <v>17</v>
      </c>
      <c r="L1304" s="101">
        <v>4.0</v>
      </c>
      <c r="M1304" s="102">
        <v>1.0</v>
      </c>
      <c r="O1304" s="72" t="s">
        <v>10</v>
      </c>
      <c r="P1304" s="73"/>
      <c r="Q1304" s="69"/>
      <c r="R1304" s="100" t="s">
        <v>20</v>
      </c>
      <c r="S1304" s="101"/>
      <c r="T1304" s="102"/>
      <c r="V1304" s="214"/>
      <c r="W1304" s="215"/>
      <c r="X1304" s="217"/>
      <c r="Y1304" s="214"/>
      <c r="Z1304" s="216"/>
      <c r="AA1304" s="217"/>
      <c r="AC1304" s="72" t="s">
        <v>4</v>
      </c>
      <c r="AD1304" s="73"/>
      <c r="AE1304" s="69"/>
      <c r="AF1304" s="100" t="s">
        <v>5</v>
      </c>
      <c r="AG1304" s="101"/>
      <c r="AH1304" s="102">
        <v>2.0</v>
      </c>
    </row>
    <row r="1305" ht="14.25" customHeight="1">
      <c r="A1305" s="72" t="s">
        <v>17</v>
      </c>
      <c r="B1305" s="73"/>
      <c r="C1305" s="69"/>
      <c r="D1305" s="100" t="s">
        <v>4</v>
      </c>
      <c r="E1305" s="101">
        <v>3.0</v>
      </c>
      <c r="F1305" s="102">
        <v>1.0</v>
      </c>
      <c r="H1305" s="72" t="s">
        <v>14</v>
      </c>
      <c r="I1305" s="73">
        <v>1.0</v>
      </c>
      <c r="J1305" s="69"/>
      <c r="K1305" s="100" t="s">
        <v>7</v>
      </c>
      <c r="L1305" s="101"/>
      <c r="M1305" s="102"/>
      <c r="O1305" s="72" t="s">
        <v>296</v>
      </c>
      <c r="P1305" s="73">
        <v>1.0</v>
      </c>
      <c r="Q1305" s="69"/>
      <c r="R1305" s="100" t="s">
        <v>7</v>
      </c>
      <c r="S1305" s="101">
        <v>3.0</v>
      </c>
      <c r="T1305" s="102"/>
      <c r="V1305" s="214"/>
      <c r="W1305" s="215"/>
      <c r="X1305" s="217"/>
      <c r="Y1305" s="214"/>
      <c r="Z1305" s="216"/>
      <c r="AA1305" s="217"/>
      <c r="AC1305" s="72" t="s">
        <v>211</v>
      </c>
      <c r="AD1305" s="73">
        <v>2.0</v>
      </c>
      <c r="AE1305" s="69"/>
      <c r="AF1305" s="100" t="s">
        <v>20</v>
      </c>
      <c r="AG1305" s="101"/>
      <c r="AH1305" s="102"/>
    </row>
    <row r="1306" ht="14.25" customHeight="1">
      <c r="A1306" s="77" t="s">
        <v>14</v>
      </c>
      <c r="B1306" s="78">
        <v>3.0</v>
      </c>
      <c r="C1306" s="82"/>
      <c r="D1306" s="103" t="s">
        <v>166</v>
      </c>
      <c r="E1306" s="104">
        <v>2.0</v>
      </c>
      <c r="F1306" s="105">
        <v>1.0</v>
      </c>
      <c r="H1306" s="77" t="s">
        <v>296</v>
      </c>
      <c r="I1306" s="78">
        <v>2.0</v>
      </c>
      <c r="J1306" s="82">
        <v>1.0</v>
      </c>
      <c r="K1306" s="103" t="s">
        <v>166</v>
      </c>
      <c r="L1306" s="104">
        <v>3.0</v>
      </c>
      <c r="M1306" s="105">
        <v>1.0</v>
      </c>
      <c r="O1306" s="77" t="s">
        <v>24</v>
      </c>
      <c r="P1306" s="78">
        <v>2.0</v>
      </c>
      <c r="Q1306" s="82">
        <v>1.0</v>
      </c>
      <c r="R1306" s="103" t="s">
        <v>263</v>
      </c>
      <c r="S1306" s="104"/>
      <c r="T1306" s="105"/>
      <c r="V1306" s="163"/>
      <c r="W1306" s="220"/>
      <c r="X1306" s="222"/>
      <c r="Y1306" s="163"/>
      <c r="Z1306" s="221"/>
      <c r="AA1306" s="222"/>
      <c r="AC1306" s="77" t="s">
        <v>166</v>
      </c>
      <c r="AD1306" s="78"/>
      <c r="AE1306" s="82"/>
      <c r="AF1306" s="103" t="s">
        <v>17</v>
      </c>
      <c r="AG1306" s="104">
        <v>2.0</v>
      </c>
      <c r="AH1306" s="105">
        <v>1.0</v>
      </c>
    </row>
    <row r="1307" ht="14.25" customHeight="1">
      <c r="A1307" s="77" t="s">
        <v>292</v>
      </c>
      <c r="B1307" s="78">
        <v>1.0</v>
      </c>
      <c r="K1307" s="103" t="s">
        <v>114</v>
      </c>
      <c r="L1307" s="104">
        <v>1.0</v>
      </c>
    </row>
    <row r="1308" ht="14.25" customHeight="1">
      <c r="AC1308" s="224"/>
    </row>
    <row r="1309" ht="14.25" customHeight="1">
      <c r="V1309" s="90"/>
      <c r="W1309" s="90"/>
      <c r="X1309" s="90"/>
      <c r="Y1309" s="90"/>
      <c r="Z1309" s="90"/>
      <c r="AC1309" s="224"/>
    </row>
    <row r="1310" ht="14.25" customHeight="1">
      <c r="A1310" s="146"/>
      <c r="B1310" s="146"/>
      <c r="C1310" s="146"/>
      <c r="D1310" s="51" t="s">
        <v>388</v>
      </c>
      <c r="E1310" s="2"/>
      <c r="F1310" s="2"/>
      <c r="G1310" s="2"/>
      <c r="H1310" s="3"/>
      <c r="O1310" s="135"/>
      <c r="V1310" s="55" t="s">
        <v>3</v>
      </c>
      <c r="W1310" s="2"/>
      <c r="X1310" s="3"/>
      <c r="Y1310" s="56">
        <f>A1300+D1300+H1300+K1300+O1300+R1300+V1300+Y1300+AC1300+AF1300</f>
        <v>43</v>
      </c>
      <c r="Z1310" s="3"/>
    </row>
    <row r="1311" ht="14.25" customHeight="1"/>
    <row r="1312" ht="14.25" customHeight="1">
      <c r="D1312" s="52" t="s">
        <v>297</v>
      </c>
      <c r="E1312" s="52">
        <v>8.0</v>
      </c>
      <c r="H1312" s="52" t="s">
        <v>266</v>
      </c>
      <c r="I1312" s="52">
        <v>2.0</v>
      </c>
    </row>
    <row r="1313" ht="14.25" customHeight="1">
      <c r="D1313" s="52" t="s">
        <v>61</v>
      </c>
      <c r="E1313" s="52">
        <v>7.0</v>
      </c>
      <c r="H1313" s="52" t="s">
        <v>82</v>
      </c>
      <c r="I1313" s="52">
        <v>1.0</v>
      </c>
    </row>
    <row r="1314" ht="14.25" customHeight="1">
      <c r="D1314" s="52" t="s">
        <v>203</v>
      </c>
      <c r="E1314" s="52">
        <v>6.0</v>
      </c>
      <c r="H1314" s="52" t="s">
        <v>8</v>
      </c>
      <c r="I1314" s="52">
        <v>1.0</v>
      </c>
    </row>
    <row r="1315" ht="14.25" customHeight="1">
      <c r="D1315" s="52" t="s">
        <v>29</v>
      </c>
      <c r="E1315" s="52">
        <v>5.0</v>
      </c>
    </row>
    <row r="1316" ht="14.25" customHeight="1">
      <c r="D1316" s="52" t="s">
        <v>36</v>
      </c>
      <c r="E1316" s="52">
        <v>4.0</v>
      </c>
      <c r="H1316" s="52" t="s">
        <v>292</v>
      </c>
      <c r="I1316" s="52">
        <v>1.0</v>
      </c>
    </row>
    <row r="1317" ht="14.25" customHeight="1">
      <c r="D1317" s="52" t="s">
        <v>35</v>
      </c>
      <c r="E1317" s="52">
        <v>4.0</v>
      </c>
      <c r="H1317" s="52" t="s">
        <v>114</v>
      </c>
      <c r="I1317" s="52">
        <v>1.0</v>
      </c>
    </row>
    <row r="1318" ht="14.25" customHeight="1">
      <c r="D1318" s="52" t="s">
        <v>49</v>
      </c>
      <c r="E1318" s="52">
        <v>3.0</v>
      </c>
    </row>
    <row r="1319" ht="14.25" customHeight="1"/>
    <row r="1320" ht="14.25" customHeight="1"/>
    <row r="1321" ht="14.25" customHeight="1">
      <c r="P1321" s="8">
        <v>46023.0</v>
      </c>
      <c r="Q1321" s="2"/>
      <c r="R1321" s="2"/>
      <c r="S1321" s="3"/>
    </row>
    <row r="1322" ht="14.25" customHeight="1">
      <c r="D1322" s="225" t="s">
        <v>389</v>
      </c>
      <c r="K1322" s="225" t="s">
        <v>389</v>
      </c>
      <c r="R1322" s="225"/>
      <c r="Y1322" s="225"/>
    </row>
    <row r="1323" ht="14.25" customHeight="1">
      <c r="A1323" s="9">
        <v>18.0</v>
      </c>
      <c r="B1323" s="10">
        <v>45665.0</v>
      </c>
      <c r="C1323" s="2"/>
      <c r="D1323" s="2"/>
      <c r="E1323" s="2"/>
      <c r="F1323" s="3"/>
      <c r="H1323" s="9">
        <v>19.0</v>
      </c>
      <c r="I1323" s="10">
        <v>45671.0</v>
      </c>
      <c r="J1323" s="2"/>
      <c r="K1323" s="2"/>
      <c r="L1323" s="2"/>
      <c r="M1323" s="3"/>
      <c r="O1323" s="9">
        <v>20.0</v>
      </c>
      <c r="P1323" s="10">
        <v>45677.0</v>
      </c>
      <c r="Q1323" s="2"/>
      <c r="R1323" s="2"/>
      <c r="S1323" s="2"/>
      <c r="T1323" s="3"/>
      <c r="V1323" s="9">
        <v>21.0</v>
      </c>
      <c r="W1323" s="10">
        <v>46049.0</v>
      </c>
      <c r="X1323" s="2"/>
      <c r="Y1323" s="2"/>
      <c r="Z1323" s="2"/>
      <c r="AA1323" s="3"/>
      <c r="AC1323" s="51" t="s">
        <v>390</v>
      </c>
      <c r="AD1323" s="2"/>
      <c r="AE1323" s="2"/>
      <c r="AF1323" s="2"/>
      <c r="AG1323" s="3"/>
    </row>
    <row r="1324" ht="14.25" customHeight="1">
      <c r="A1324" s="14">
        <v>12.0</v>
      </c>
      <c r="B1324" s="2"/>
      <c r="C1324" s="3"/>
      <c r="D1324" s="39">
        <v>10.0</v>
      </c>
      <c r="E1324" s="2"/>
      <c r="F1324" s="3"/>
      <c r="H1324" s="14">
        <v>7.0</v>
      </c>
      <c r="I1324" s="2"/>
      <c r="J1324" s="3"/>
      <c r="K1324" s="39">
        <v>7.0</v>
      </c>
      <c r="L1324" s="2"/>
      <c r="M1324" s="3"/>
      <c r="O1324" s="14">
        <v>4.0</v>
      </c>
      <c r="P1324" s="2"/>
      <c r="Q1324" s="3"/>
      <c r="R1324" s="39">
        <v>3.0</v>
      </c>
      <c r="S1324" s="2"/>
      <c r="T1324" s="3"/>
      <c r="V1324" s="14">
        <v>5.0</v>
      </c>
      <c r="W1324" s="2"/>
      <c r="X1324" s="3"/>
      <c r="Y1324" s="39">
        <v>5.0</v>
      </c>
      <c r="Z1324" s="2"/>
      <c r="AA1324" s="3"/>
    </row>
    <row r="1325" ht="12.0" customHeight="1">
      <c r="A1325" s="60"/>
      <c r="B1325" s="61" t="s">
        <v>69</v>
      </c>
      <c r="C1325" s="62" t="s">
        <v>70</v>
      </c>
      <c r="D1325" s="94"/>
      <c r="E1325" s="95" t="s">
        <v>69</v>
      </c>
      <c r="F1325" s="96" t="s">
        <v>70</v>
      </c>
      <c r="H1325" s="66"/>
      <c r="I1325" s="61" t="s">
        <v>69</v>
      </c>
      <c r="J1325" s="62" t="s">
        <v>70</v>
      </c>
      <c r="K1325" s="94"/>
      <c r="L1325" s="95" t="s">
        <v>69</v>
      </c>
      <c r="M1325" s="96" t="s">
        <v>70</v>
      </c>
      <c r="O1325" s="66"/>
      <c r="P1325" s="61" t="s">
        <v>69</v>
      </c>
      <c r="Q1325" s="62" t="s">
        <v>70</v>
      </c>
      <c r="R1325" s="94"/>
      <c r="S1325" s="95" t="s">
        <v>69</v>
      </c>
      <c r="T1325" s="96" t="s">
        <v>70</v>
      </c>
      <c r="V1325" s="66"/>
      <c r="W1325" s="61" t="s">
        <v>69</v>
      </c>
      <c r="X1325" s="62" t="s">
        <v>70</v>
      </c>
      <c r="Y1325" s="94"/>
      <c r="Z1325" s="95" t="s">
        <v>69</v>
      </c>
      <c r="AA1325" s="96" t="s">
        <v>70</v>
      </c>
      <c r="AC1325" s="52" t="s">
        <v>297</v>
      </c>
      <c r="AD1325" s="52">
        <v>10.0</v>
      </c>
      <c r="AF1325" s="52" t="s">
        <v>203</v>
      </c>
      <c r="AG1325" s="52">
        <v>2.0</v>
      </c>
    </row>
    <row r="1326" ht="14.25" customHeight="1">
      <c r="A1326" s="67" t="s">
        <v>4</v>
      </c>
      <c r="B1326" s="68">
        <v>4.0</v>
      </c>
      <c r="C1326" s="227"/>
      <c r="D1326" s="97" t="s">
        <v>10</v>
      </c>
      <c r="E1326" s="98">
        <v>3.0</v>
      </c>
      <c r="F1326" s="99"/>
      <c r="H1326" s="67" t="s">
        <v>10</v>
      </c>
      <c r="I1326" s="68">
        <v>1.0</v>
      </c>
      <c r="J1326" s="69">
        <v>2.0</v>
      </c>
      <c r="K1326" s="97" t="s">
        <v>278</v>
      </c>
      <c r="L1326" s="98">
        <v>2.0</v>
      </c>
      <c r="M1326" s="99"/>
      <c r="O1326" s="67" t="s">
        <v>10</v>
      </c>
      <c r="P1326" s="68"/>
      <c r="Q1326" s="69"/>
      <c r="R1326" s="97" t="s">
        <v>296</v>
      </c>
      <c r="S1326" s="98">
        <v>2.0</v>
      </c>
      <c r="T1326" s="99"/>
      <c r="V1326" s="67" t="s">
        <v>18</v>
      </c>
      <c r="W1326" s="68">
        <v>1.0</v>
      </c>
      <c r="X1326" s="69"/>
      <c r="Y1326" s="97" t="s">
        <v>10</v>
      </c>
      <c r="Z1326" s="98"/>
      <c r="AA1326" s="99"/>
      <c r="AC1326" s="52" t="s">
        <v>277</v>
      </c>
      <c r="AD1326" s="52">
        <v>8.0</v>
      </c>
      <c r="AF1326" s="52" t="s">
        <v>38</v>
      </c>
      <c r="AG1326" s="52">
        <v>2.0</v>
      </c>
    </row>
    <row r="1327" ht="14.25" customHeight="1">
      <c r="A1327" s="72" t="s">
        <v>20</v>
      </c>
      <c r="B1327" s="73"/>
      <c r="C1327" s="69">
        <v>4.0</v>
      </c>
      <c r="D1327" s="100" t="s">
        <v>278</v>
      </c>
      <c r="E1327" s="101">
        <v>5.0</v>
      </c>
      <c r="F1327" s="102"/>
      <c r="H1327" s="72" t="s">
        <v>17</v>
      </c>
      <c r="I1327" s="73">
        <v>1.0</v>
      </c>
      <c r="J1327" s="69"/>
      <c r="K1327" s="100" t="s">
        <v>14</v>
      </c>
      <c r="L1327" s="101"/>
      <c r="M1327" s="102">
        <v>2.0</v>
      </c>
      <c r="O1327" s="72" t="s">
        <v>20</v>
      </c>
      <c r="P1327" s="73"/>
      <c r="Q1327" s="69"/>
      <c r="R1327" s="100" t="s">
        <v>166</v>
      </c>
      <c r="S1327" s="101"/>
      <c r="T1327" s="102">
        <v>2.0</v>
      </c>
      <c r="V1327" s="72" t="s">
        <v>137</v>
      </c>
      <c r="W1327" s="73">
        <v>1.0</v>
      </c>
      <c r="X1327" s="69">
        <v>1.0</v>
      </c>
      <c r="Y1327" s="100" t="s">
        <v>259</v>
      </c>
      <c r="Z1327" s="101">
        <v>3.0</v>
      </c>
      <c r="AA1327" s="102"/>
      <c r="AC1327" s="52" t="s">
        <v>49</v>
      </c>
      <c r="AD1327" s="52">
        <v>8.0</v>
      </c>
      <c r="AF1327" s="52" t="s">
        <v>61</v>
      </c>
      <c r="AG1327" s="52">
        <v>2.0</v>
      </c>
    </row>
    <row r="1328" ht="14.25" customHeight="1">
      <c r="A1328" s="72" t="s">
        <v>24</v>
      </c>
      <c r="B1328" s="73">
        <v>2.0</v>
      </c>
      <c r="C1328" s="69">
        <v>2.0</v>
      </c>
      <c r="D1328" s="100" t="s">
        <v>5</v>
      </c>
      <c r="E1328" s="101"/>
      <c r="F1328" s="102">
        <v>4.0</v>
      </c>
      <c r="H1328" s="72" t="s">
        <v>20</v>
      </c>
      <c r="I1328" s="73">
        <v>2.0</v>
      </c>
      <c r="J1328" s="69"/>
      <c r="K1328" s="100" t="s">
        <v>18</v>
      </c>
      <c r="L1328" s="101"/>
      <c r="M1328" s="102">
        <v>2.0</v>
      </c>
      <c r="O1328" s="72" t="s">
        <v>4</v>
      </c>
      <c r="P1328" s="73">
        <v>3.0</v>
      </c>
      <c r="Q1328" s="69"/>
      <c r="R1328" s="100" t="s">
        <v>14</v>
      </c>
      <c r="S1328" s="101"/>
      <c r="T1328" s="102">
        <v>1.0</v>
      </c>
      <c r="V1328" s="72" t="s">
        <v>24</v>
      </c>
      <c r="W1328" s="73">
        <v>2.0</v>
      </c>
      <c r="X1328" s="69"/>
      <c r="Y1328" s="100" t="s">
        <v>17</v>
      </c>
      <c r="Z1328" s="101">
        <v>1.0</v>
      </c>
      <c r="AA1328" s="102">
        <v>3.0</v>
      </c>
      <c r="AC1328" s="52" t="s">
        <v>35</v>
      </c>
      <c r="AD1328" s="52">
        <v>6.0</v>
      </c>
      <c r="AF1328" s="52" t="s">
        <v>8</v>
      </c>
      <c r="AG1328" s="52">
        <v>1.0</v>
      </c>
    </row>
    <row r="1329" ht="14.25" customHeight="1">
      <c r="A1329" s="77" t="s">
        <v>296</v>
      </c>
      <c r="B1329" s="78">
        <v>6.0</v>
      </c>
      <c r="C1329" s="82">
        <v>2.0</v>
      </c>
      <c r="D1329" s="103" t="s">
        <v>166</v>
      </c>
      <c r="E1329" s="104">
        <v>2.0</v>
      </c>
      <c r="F1329" s="105">
        <v>1.0</v>
      </c>
      <c r="H1329" s="72" t="s">
        <v>263</v>
      </c>
      <c r="I1329" s="73">
        <v>3.0</v>
      </c>
      <c r="J1329" s="69"/>
      <c r="K1329" s="100" t="s">
        <v>296</v>
      </c>
      <c r="L1329" s="101">
        <v>2.0</v>
      </c>
      <c r="M1329" s="102"/>
      <c r="O1329" s="72" t="s">
        <v>5</v>
      </c>
      <c r="P1329" s="73"/>
      <c r="Q1329" s="69"/>
      <c r="R1329" s="100" t="s">
        <v>278</v>
      </c>
      <c r="S1329" s="101">
        <v>1.0</v>
      </c>
      <c r="T1329" s="102"/>
      <c r="V1329" s="72" t="s">
        <v>4</v>
      </c>
      <c r="W1329" s="73">
        <v>1.0</v>
      </c>
      <c r="X1329" s="69"/>
      <c r="Y1329" s="100" t="s">
        <v>5</v>
      </c>
      <c r="Z1329" s="101">
        <v>1.0</v>
      </c>
      <c r="AA1329" s="102"/>
      <c r="AC1329" s="52" t="s">
        <v>82</v>
      </c>
      <c r="AD1329" s="52">
        <v>4.0</v>
      </c>
      <c r="AF1329" s="52" t="s">
        <v>91</v>
      </c>
      <c r="AG1329" s="52">
        <v>1.0</v>
      </c>
    </row>
    <row r="1330" ht="14.25" customHeight="1">
      <c r="H1330" s="77" t="s">
        <v>5</v>
      </c>
      <c r="I1330" s="78"/>
      <c r="J1330" s="190">
        <v>3.0</v>
      </c>
      <c r="K1330" s="103" t="s">
        <v>24</v>
      </c>
      <c r="L1330" s="104">
        <v>2.0</v>
      </c>
      <c r="M1330" s="105"/>
      <c r="O1330" s="77" t="s">
        <v>17</v>
      </c>
      <c r="P1330" s="78"/>
      <c r="Q1330" s="190">
        <v>2.0</v>
      </c>
      <c r="R1330" s="103" t="s">
        <v>18</v>
      </c>
      <c r="S1330" s="104"/>
      <c r="T1330" s="105"/>
      <c r="V1330" s="77" t="s">
        <v>166</v>
      </c>
      <c r="W1330" s="78"/>
      <c r="X1330" s="190">
        <v>2.0</v>
      </c>
      <c r="Y1330" s="103" t="s">
        <v>363</v>
      </c>
      <c r="Z1330" s="104"/>
      <c r="AA1330" s="105">
        <v>1.0</v>
      </c>
      <c r="AC1330" s="52" t="s">
        <v>267</v>
      </c>
      <c r="AD1330" s="52">
        <v>3.0</v>
      </c>
      <c r="AF1330" s="52" t="s">
        <v>391</v>
      </c>
      <c r="AG1330" s="52">
        <v>1.0</v>
      </c>
    </row>
    <row r="1331" ht="14.25" customHeight="1">
      <c r="K1331" s="103" t="s">
        <v>280</v>
      </c>
      <c r="L1331" s="104">
        <v>1.0</v>
      </c>
      <c r="O1331" s="77" t="s">
        <v>362</v>
      </c>
      <c r="P1331" s="78">
        <v>1.0</v>
      </c>
      <c r="AC1331" s="52" t="s">
        <v>392</v>
      </c>
      <c r="AD1331" s="52">
        <v>3.0</v>
      </c>
      <c r="AF1331" s="52" t="s">
        <v>362</v>
      </c>
      <c r="AG1331" s="52">
        <v>1.0</v>
      </c>
    </row>
    <row r="1332" ht="14.25" customHeight="1">
      <c r="Y1332" s="90"/>
      <c r="Z1332" s="90"/>
      <c r="AF1332" s="52" t="s">
        <v>280</v>
      </c>
      <c r="AG1332" s="52">
        <v>1.0</v>
      </c>
    </row>
    <row r="1333" ht="14.25" customHeight="1">
      <c r="Y1333" s="56">
        <f>A1324+D1324+H1324+K1324+O1324+R1324+V1324+Y1324</f>
        <v>53</v>
      </c>
      <c r="Z1333" s="3"/>
    </row>
    <row r="1334" ht="14.25" customHeight="1"/>
    <row r="1335" ht="14.25" customHeight="1"/>
    <row r="1336" ht="14.25" customHeight="1">
      <c r="P1336" s="8">
        <v>46054.0</v>
      </c>
      <c r="Q1336" s="2"/>
      <c r="R1336" s="2"/>
      <c r="S1336" s="3"/>
    </row>
    <row r="1337" ht="14.25" customHeight="1">
      <c r="D1337" s="225"/>
      <c r="K1337" s="225"/>
      <c r="R1337" s="225"/>
      <c r="Y1337" s="225"/>
    </row>
    <row r="1338" ht="14.25" customHeight="1">
      <c r="A1338" s="9">
        <v>22.0</v>
      </c>
      <c r="B1338" s="10">
        <v>46057.0</v>
      </c>
      <c r="C1338" s="2"/>
      <c r="D1338" s="2"/>
      <c r="E1338" s="2"/>
      <c r="F1338" s="3"/>
      <c r="H1338" s="9">
        <v>23.0</v>
      </c>
      <c r="I1338" s="10">
        <v>46063.0</v>
      </c>
      <c r="J1338" s="2"/>
      <c r="K1338" s="2"/>
      <c r="L1338" s="2"/>
      <c r="M1338" s="3"/>
      <c r="O1338" s="9">
        <v>24.0</v>
      </c>
      <c r="P1338" s="10">
        <v>46070.0</v>
      </c>
      <c r="Q1338" s="2"/>
      <c r="R1338" s="2"/>
      <c r="S1338" s="2"/>
      <c r="T1338" s="3"/>
      <c r="V1338" s="9">
        <v>25.0</v>
      </c>
      <c r="W1338" s="10">
        <v>46077.0</v>
      </c>
      <c r="X1338" s="2"/>
      <c r="Y1338" s="2"/>
      <c r="Z1338" s="2"/>
      <c r="AA1338" s="3"/>
      <c r="AC1338" s="51" t="s">
        <v>393</v>
      </c>
      <c r="AD1338" s="2"/>
      <c r="AE1338" s="2"/>
      <c r="AF1338" s="2"/>
      <c r="AG1338" s="3"/>
    </row>
    <row r="1339" ht="14.25" customHeight="1">
      <c r="A1339" s="14">
        <v>6.0</v>
      </c>
      <c r="B1339" s="2"/>
      <c r="C1339" s="3"/>
      <c r="D1339" s="39">
        <v>8.0</v>
      </c>
      <c r="E1339" s="2"/>
      <c r="F1339" s="3"/>
      <c r="H1339" s="14">
        <v>7.0</v>
      </c>
      <c r="I1339" s="2"/>
      <c r="J1339" s="3"/>
      <c r="K1339" s="39">
        <v>4.0</v>
      </c>
      <c r="L1339" s="2"/>
      <c r="M1339" s="3"/>
      <c r="O1339" s="14">
        <v>5.0</v>
      </c>
      <c r="P1339" s="2"/>
      <c r="Q1339" s="3"/>
      <c r="R1339" s="39">
        <v>1.0</v>
      </c>
      <c r="S1339" s="2"/>
      <c r="T1339" s="3"/>
      <c r="V1339" s="14">
        <v>4.0</v>
      </c>
      <c r="W1339" s="2"/>
      <c r="X1339" s="3"/>
      <c r="Y1339" s="39">
        <v>6.0</v>
      </c>
      <c r="Z1339" s="2"/>
      <c r="AA1339" s="3"/>
    </row>
    <row r="1340" ht="12.0" customHeight="1">
      <c r="A1340" s="60"/>
      <c r="B1340" s="61" t="s">
        <v>69</v>
      </c>
      <c r="C1340" s="62" t="s">
        <v>70</v>
      </c>
      <c r="D1340" s="94"/>
      <c r="E1340" s="95" t="s">
        <v>69</v>
      </c>
      <c r="F1340" s="96" t="s">
        <v>70</v>
      </c>
      <c r="H1340" s="66"/>
      <c r="I1340" s="61" t="s">
        <v>69</v>
      </c>
      <c r="J1340" s="62" t="s">
        <v>70</v>
      </c>
      <c r="K1340" s="94"/>
      <c r="L1340" s="95" t="s">
        <v>69</v>
      </c>
      <c r="M1340" s="96" t="s">
        <v>70</v>
      </c>
      <c r="O1340" s="66"/>
      <c r="P1340" s="61" t="s">
        <v>69</v>
      </c>
      <c r="Q1340" s="62" t="s">
        <v>70</v>
      </c>
      <c r="R1340" s="94"/>
      <c r="S1340" s="95" t="s">
        <v>69</v>
      </c>
      <c r="T1340" s="96" t="s">
        <v>70</v>
      </c>
      <c r="V1340" s="66"/>
      <c r="W1340" s="61" t="s">
        <v>69</v>
      </c>
      <c r="X1340" s="62" t="s">
        <v>70</v>
      </c>
      <c r="Y1340" s="94"/>
      <c r="Z1340" s="95" t="s">
        <v>69</v>
      </c>
      <c r="AA1340" s="96" t="s">
        <v>70</v>
      </c>
      <c r="AC1340" s="52" t="s">
        <v>203</v>
      </c>
      <c r="AD1340" s="52">
        <v>5.0</v>
      </c>
      <c r="AF1340" s="52" t="s">
        <v>91</v>
      </c>
      <c r="AG1340" s="52">
        <v>3.0</v>
      </c>
    </row>
    <row r="1341" ht="14.25" customHeight="1">
      <c r="A1341" s="67" t="s">
        <v>10</v>
      </c>
      <c r="B1341" s="68">
        <v>2.0</v>
      </c>
      <c r="C1341" s="227"/>
      <c r="D1341" s="97" t="s">
        <v>263</v>
      </c>
      <c r="E1341" s="98">
        <v>2.0</v>
      </c>
      <c r="F1341" s="99">
        <v>1.0</v>
      </c>
      <c r="H1341" s="67" t="s">
        <v>10</v>
      </c>
      <c r="I1341" s="68">
        <v>1.0</v>
      </c>
      <c r="J1341" s="69">
        <v>2.0</v>
      </c>
      <c r="K1341" s="97" t="s">
        <v>5</v>
      </c>
      <c r="L1341" s="98">
        <v>1.0</v>
      </c>
      <c r="M1341" s="99">
        <v>1.0</v>
      </c>
      <c r="O1341" s="67" t="s">
        <v>10</v>
      </c>
      <c r="P1341" s="68">
        <v>1.0</v>
      </c>
      <c r="Q1341" s="69"/>
      <c r="R1341" s="97" t="s">
        <v>18</v>
      </c>
      <c r="S1341" s="98">
        <v>1.0</v>
      </c>
      <c r="T1341" s="99"/>
      <c r="V1341" s="67" t="s">
        <v>14</v>
      </c>
      <c r="W1341" s="68">
        <v>3.0</v>
      </c>
      <c r="X1341" s="69">
        <v>1.0</v>
      </c>
      <c r="Y1341" s="97" t="s">
        <v>4</v>
      </c>
      <c r="Z1341" s="98">
        <v>2.0</v>
      </c>
      <c r="AA1341" s="99">
        <v>2.0</v>
      </c>
      <c r="AC1341" s="52" t="s">
        <v>8</v>
      </c>
      <c r="AD1341" s="52">
        <v>5.0</v>
      </c>
      <c r="AF1341" s="52" t="s">
        <v>297</v>
      </c>
      <c r="AG1341" s="52">
        <v>3.0</v>
      </c>
    </row>
    <row r="1342" ht="14.25" customHeight="1">
      <c r="A1342" s="72" t="s">
        <v>7</v>
      </c>
      <c r="B1342" s="73"/>
      <c r="C1342" s="69">
        <v>3.0</v>
      </c>
      <c r="D1342" s="100" t="s">
        <v>20</v>
      </c>
      <c r="E1342" s="101"/>
      <c r="F1342" s="102">
        <v>1.0</v>
      </c>
      <c r="H1342" s="72" t="s">
        <v>7</v>
      </c>
      <c r="I1342" s="73"/>
      <c r="J1342" s="69">
        <v>1.0</v>
      </c>
      <c r="K1342" s="100" t="s">
        <v>17</v>
      </c>
      <c r="L1342" s="101">
        <v>1.0</v>
      </c>
      <c r="M1342" s="102">
        <v>2.0</v>
      </c>
      <c r="O1342" s="72" t="s">
        <v>7</v>
      </c>
      <c r="P1342" s="73">
        <v>1.0</v>
      </c>
      <c r="Q1342" s="69"/>
      <c r="R1342" s="100" t="s">
        <v>278</v>
      </c>
      <c r="S1342" s="101"/>
      <c r="T1342" s="102">
        <v>1.0</v>
      </c>
      <c r="V1342" s="72" t="s">
        <v>166</v>
      </c>
      <c r="W1342" s="73">
        <v>1.0</v>
      </c>
      <c r="X1342" s="69">
        <v>2.0</v>
      </c>
      <c r="Y1342" s="100" t="s">
        <v>296</v>
      </c>
      <c r="Z1342" s="101">
        <v>1.0</v>
      </c>
      <c r="AA1342" s="102">
        <v>1.0</v>
      </c>
      <c r="AC1342" s="52" t="s">
        <v>36</v>
      </c>
      <c r="AD1342" s="52">
        <v>4.0</v>
      </c>
      <c r="AF1342" s="52" t="s">
        <v>29</v>
      </c>
      <c r="AG1342" s="52">
        <v>2.0</v>
      </c>
    </row>
    <row r="1343" ht="14.25" customHeight="1">
      <c r="A1343" s="72" t="s">
        <v>166</v>
      </c>
      <c r="B1343" s="73">
        <v>1.0</v>
      </c>
      <c r="C1343" s="69"/>
      <c r="D1343" s="100" t="s">
        <v>18</v>
      </c>
      <c r="E1343" s="101">
        <v>1.0</v>
      </c>
      <c r="F1343" s="102">
        <v>1.0</v>
      </c>
      <c r="H1343" s="72" t="s">
        <v>4</v>
      </c>
      <c r="I1343" s="73">
        <v>2.0</v>
      </c>
      <c r="J1343" s="69">
        <v>1.0</v>
      </c>
      <c r="K1343" s="100" t="s">
        <v>24</v>
      </c>
      <c r="L1343" s="101">
        <v>1.0</v>
      </c>
      <c r="M1343" s="102">
        <v>1.0</v>
      </c>
      <c r="O1343" s="72" t="s">
        <v>20</v>
      </c>
      <c r="P1343" s="73"/>
      <c r="Q1343" s="69">
        <v>2.0</v>
      </c>
      <c r="R1343" s="100" t="s">
        <v>263</v>
      </c>
      <c r="S1343" s="101"/>
      <c r="T1343" s="102"/>
      <c r="V1343" s="72" t="s">
        <v>363</v>
      </c>
      <c r="W1343" s="73"/>
      <c r="X1343" s="69"/>
      <c r="Y1343" s="100" t="s">
        <v>5</v>
      </c>
      <c r="Z1343" s="101">
        <v>2.0</v>
      </c>
      <c r="AA1343" s="102">
        <v>2.0</v>
      </c>
      <c r="AC1343" s="52" t="s">
        <v>49</v>
      </c>
      <c r="AD1343" s="52">
        <v>4.0</v>
      </c>
      <c r="AF1343" s="52" t="s">
        <v>267</v>
      </c>
      <c r="AG1343" s="52">
        <v>2.0</v>
      </c>
    </row>
    <row r="1344" ht="14.25" customHeight="1">
      <c r="A1344" s="72" t="s">
        <v>5</v>
      </c>
      <c r="B1344" s="73">
        <v>1.0</v>
      </c>
      <c r="C1344" s="69"/>
      <c r="D1344" s="100" t="s">
        <v>278</v>
      </c>
      <c r="E1344" s="101">
        <v>4.0</v>
      </c>
      <c r="F1344" s="102">
        <v>2.0</v>
      </c>
      <c r="H1344" s="72" t="s">
        <v>166</v>
      </c>
      <c r="I1344" s="73">
        <v>3.0</v>
      </c>
      <c r="J1344" s="69"/>
      <c r="K1344" s="100" t="s">
        <v>20</v>
      </c>
      <c r="L1344" s="101"/>
      <c r="M1344" s="102"/>
      <c r="O1344" s="72" t="s">
        <v>5</v>
      </c>
      <c r="P1344" s="73">
        <v>1.0</v>
      </c>
      <c r="Q1344" s="69"/>
      <c r="R1344" s="100" t="s">
        <v>4</v>
      </c>
      <c r="S1344" s="101"/>
      <c r="T1344" s="102"/>
      <c r="V1344" s="72" t="s">
        <v>10</v>
      </c>
      <c r="W1344" s="73"/>
      <c r="X1344" s="69"/>
      <c r="Y1344" s="100" t="s">
        <v>20</v>
      </c>
      <c r="Z1344" s="101"/>
      <c r="AA1344" s="102"/>
      <c r="AC1344" s="52" t="s">
        <v>277</v>
      </c>
      <c r="AD1344" s="52">
        <v>4.0</v>
      </c>
      <c r="AF1344" s="52" t="s">
        <v>365</v>
      </c>
      <c r="AG1344" s="52">
        <v>1.0</v>
      </c>
    </row>
    <row r="1345" ht="14.25" customHeight="1">
      <c r="A1345" s="77" t="s">
        <v>17</v>
      </c>
      <c r="B1345" s="78">
        <v>2.0</v>
      </c>
      <c r="C1345" s="82">
        <v>1.0</v>
      </c>
      <c r="D1345" s="103" t="s">
        <v>363</v>
      </c>
      <c r="E1345" s="104">
        <v>1.0</v>
      </c>
      <c r="F1345" s="105"/>
      <c r="H1345" s="77" t="s">
        <v>14</v>
      </c>
      <c r="I1345" s="78">
        <v>1.0</v>
      </c>
      <c r="J1345" s="190"/>
      <c r="K1345" s="103" t="s">
        <v>18</v>
      </c>
      <c r="L1345" s="104">
        <v>1.0</v>
      </c>
      <c r="M1345" s="105"/>
      <c r="O1345" s="77" t="s">
        <v>296</v>
      </c>
      <c r="P1345" s="78">
        <v>2.0</v>
      </c>
      <c r="Q1345" s="190"/>
      <c r="R1345" s="103" t="s">
        <v>166</v>
      </c>
      <c r="S1345" s="104"/>
      <c r="T1345" s="105"/>
      <c r="V1345" s="77" t="s">
        <v>18</v>
      </c>
      <c r="W1345" s="78"/>
      <c r="X1345" s="190"/>
      <c r="Y1345" s="103" t="s">
        <v>7</v>
      </c>
      <c r="Z1345" s="104">
        <v>1.0</v>
      </c>
      <c r="AA1345" s="105"/>
      <c r="AC1345" s="52" t="s">
        <v>82</v>
      </c>
      <c r="AD1345" s="52">
        <v>4.0</v>
      </c>
      <c r="AF1345" s="52" t="s">
        <v>35</v>
      </c>
      <c r="AG1345" s="52">
        <v>1.0</v>
      </c>
    </row>
    <row r="1346" ht="14.25" customHeight="1">
      <c r="AC1346" s="52" t="s">
        <v>61</v>
      </c>
      <c r="AD1346" s="52">
        <v>3.0</v>
      </c>
    </row>
    <row r="1347" ht="14.25" customHeight="1">
      <c r="Y1347" s="90"/>
      <c r="Z1347" s="90"/>
    </row>
    <row r="1348" ht="14.25" customHeight="1">
      <c r="Y1348" s="56">
        <f>A1339+D1339+H1339+K1339+O1339+R1339+V1339+Y1339</f>
        <v>41</v>
      </c>
      <c r="Z1348" s="3"/>
    </row>
    <row r="1349" ht="14.25" customHeight="1"/>
    <row r="1350" ht="14.25" customHeight="1"/>
    <row r="1351" ht="14.25" customHeight="1">
      <c r="P1351" s="8">
        <v>46082.0</v>
      </c>
      <c r="Q1351" s="2"/>
      <c r="R1351" s="2"/>
      <c r="S1351" s="3"/>
    </row>
    <row r="1352" ht="14.25" customHeight="1"/>
    <row r="1353" ht="14.25" customHeight="1">
      <c r="A1353" s="9">
        <v>26.0</v>
      </c>
      <c r="B1353" s="10">
        <v>46084.0</v>
      </c>
      <c r="C1353" s="2"/>
      <c r="D1353" s="2"/>
      <c r="E1353" s="2"/>
      <c r="F1353" s="3"/>
      <c r="H1353" s="9">
        <v>27.0</v>
      </c>
      <c r="I1353" s="10">
        <v>46091.0</v>
      </c>
      <c r="J1353" s="2"/>
      <c r="K1353" s="2"/>
      <c r="L1353" s="2"/>
      <c r="M1353" s="3"/>
      <c r="O1353" s="9">
        <v>28.0</v>
      </c>
      <c r="P1353" s="10">
        <v>46098.0</v>
      </c>
      <c r="Q1353" s="2"/>
      <c r="R1353" s="2"/>
      <c r="S1353" s="2"/>
      <c r="T1353" s="3"/>
      <c r="V1353" s="9">
        <v>29.0</v>
      </c>
      <c r="W1353" s="228">
        <v>46105.0</v>
      </c>
      <c r="X1353" s="2"/>
      <c r="Y1353" s="2"/>
      <c r="Z1353" s="2"/>
      <c r="AA1353" s="3"/>
      <c r="AC1353" s="9">
        <v>30.0</v>
      </c>
      <c r="AD1353" s="10">
        <v>46111.0</v>
      </c>
      <c r="AE1353" s="2"/>
      <c r="AF1353" s="2"/>
      <c r="AG1353" s="2"/>
      <c r="AH1353" s="3"/>
    </row>
    <row r="1354" ht="14.25" customHeight="1">
      <c r="A1354" s="14">
        <v>0.0</v>
      </c>
      <c r="B1354" s="2"/>
      <c r="C1354" s="3"/>
      <c r="D1354" s="39">
        <v>0.0</v>
      </c>
      <c r="E1354" s="2"/>
      <c r="F1354" s="3"/>
      <c r="H1354" s="14">
        <v>0.0</v>
      </c>
      <c r="I1354" s="2"/>
      <c r="J1354" s="3"/>
      <c r="K1354" s="39">
        <v>0.0</v>
      </c>
      <c r="L1354" s="2"/>
      <c r="M1354" s="3"/>
      <c r="O1354" s="14">
        <v>0.0</v>
      </c>
      <c r="P1354" s="2"/>
      <c r="Q1354" s="3"/>
      <c r="R1354" s="39">
        <v>0.0</v>
      </c>
      <c r="S1354" s="2"/>
      <c r="T1354" s="3"/>
      <c r="V1354" s="14">
        <v>0.0</v>
      </c>
      <c r="W1354" s="2"/>
      <c r="X1354" s="3"/>
      <c r="Y1354" s="39">
        <v>0.0</v>
      </c>
      <c r="Z1354" s="2"/>
      <c r="AA1354" s="3"/>
      <c r="AC1354" s="14">
        <v>0.0</v>
      </c>
      <c r="AD1354" s="2"/>
      <c r="AE1354" s="3"/>
      <c r="AF1354" s="39">
        <v>0.0</v>
      </c>
      <c r="AG1354" s="2"/>
      <c r="AH1354" s="3"/>
    </row>
    <row r="1355" ht="12.0" customHeight="1">
      <c r="A1355" s="66"/>
      <c r="B1355" s="61" t="s">
        <v>69</v>
      </c>
      <c r="C1355" s="62" t="s">
        <v>70</v>
      </c>
      <c r="D1355" s="94"/>
      <c r="E1355" s="95" t="s">
        <v>69</v>
      </c>
      <c r="F1355" s="96" t="s">
        <v>70</v>
      </c>
      <c r="H1355" s="66"/>
      <c r="I1355" s="61" t="s">
        <v>69</v>
      </c>
      <c r="J1355" s="62" t="s">
        <v>70</v>
      </c>
      <c r="K1355" s="94"/>
      <c r="L1355" s="95" t="s">
        <v>69</v>
      </c>
      <c r="M1355" s="96" t="s">
        <v>70</v>
      </c>
      <c r="O1355" s="66"/>
      <c r="P1355" s="61" t="s">
        <v>69</v>
      </c>
      <c r="Q1355" s="62" t="s">
        <v>70</v>
      </c>
      <c r="R1355" s="94"/>
      <c r="S1355" s="95" t="s">
        <v>69</v>
      </c>
      <c r="T1355" s="96" t="s">
        <v>70</v>
      </c>
      <c r="V1355" s="66"/>
      <c r="W1355" s="61" t="s">
        <v>69</v>
      </c>
      <c r="X1355" s="61" t="s">
        <v>70</v>
      </c>
      <c r="Y1355" s="94"/>
      <c r="Z1355" s="95" t="s">
        <v>69</v>
      </c>
      <c r="AA1355" s="96" t="s">
        <v>70</v>
      </c>
      <c r="AC1355" s="66"/>
      <c r="AD1355" s="61" t="s">
        <v>69</v>
      </c>
      <c r="AE1355" s="62" t="s">
        <v>70</v>
      </c>
      <c r="AF1355" s="94"/>
      <c r="AG1355" s="95" t="s">
        <v>69</v>
      </c>
      <c r="AH1355" s="96" t="s">
        <v>70</v>
      </c>
    </row>
    <row r="1356" ht="14.25" customHeight="1">
      <c r="A1356" s="67"/>
      <c r="B1356" s="68"/>
      <c r="C1356" s="69"/>
      <c r="D1356" s="97"/>
      <c r="E1356" s="98"/>
      <c r="F1356" s="99"/>
      <c r="H1356" s="67"/>
      <c r="I1356" s="68"/>
      <c r="J1356" s="69"/>
      <c r="K1356" s="97"/>
      <c r="L1356" s="98"/>
      <c r="M1356" s="99"/>
      <c r="O1356" s="67"/>
      <c r="P1356" s="68"/>
      <c r="Q1356" s="69"/>
      <c r="R1356" s="97"/>
      <c r="S1356" s="98"/>
      <c r="T1356" s="99"/>
      <c r="V1356" s="67"/>
      <c r="W1356" s="68"/>
      <c r="X1356" s="191"/>
      <c r="Y1356" s="97"/>
      <c r="Z1356" s="98"/>
      <c r="AA1356" s="99"/>
      <c r="AC1356" s="67"/>
      <c r="AD1356" s="68"/>
      <c r="AE1356" s="69"/>
      <c r="AF1356" s="97"/>
      <c r="AG1356" s="98"/>
      <c r="AH1356" s="99"/>
    </row>
    <row r="1357" ht="14.25" customHeight="1">
      <c r="A1357" s="72"/>
      <c r="B1357" s="73"/>
      <c r="C1357" s="69"/>
      <c r="D1357" s="100"/>
      <c r="E1357" s="101"/>
      <c r="F1357" s="102"/>
      <c r="H1357" s="72"/>
      <c r="I1357" s="73"/>
      <c r="J1357" s="69"/>
      <c r="K1357" s="100"/>
      <c r="L1357" s="101"/>
      <c r="M1357" s="102"/>
      <c r="O1357" s="72"/>
      <c r="P1357" s="73"/>
      <c r="Q1357" s="69"/>
      <c r="R1357" s="100"/>
      <c r="S1357" s="101"/>
      <c r="T1357" s="102"/>
      <c r="V1357" s="72"/>
      <c r="W1357" s="73"/>
      <c r="X1357" s="191"/>
      <c r="Y1357" s="100"/>
      <c r="Z1357" s="101"/>
      <c r="AA1357" s="102"/>
      <c r="AC1357" s="72"/>
      <c r="AD1357" s="73"/>
      <c r="AE1357" s="69"/>
      <c r="AF1357" s="100"/>
      <c r="AG1357" s="101"/>
      <c r="AH1357" s="102"/>
    </row>
    <row r="1358" ht="14.25" customHeight="1">
      <c r="A1358" s="72"/>
      <c r="B1358" s="73"/>
      <c r="C1358" s="69"/>
      <c r="D1358" s="100"/>
      <c r="E1358" s="101"/>
      <c r="F1358" s="102"/>
      <c r="H1358" s="72"/>
      <c r="I1358" s="73"/>
      <c r="J1358" s="69"/>
      <c r="K1358" s="100"/>
      <c r="L1358" s="101"/>
      <c r="M1358" s="102"/>
      <c r="O1358" s="72"/>
      <c r="P1358" s="73"/>
      <c r="Q1358" s="69"/>
      <c r="R1358" s="100"/>
      <c r="S1358" s="101"/>
      <c r="T1358" s="102"/>
      <c r="V1358" s="72"/>
      <c r="W1358" s="73"/>
      <c r="X1358" s="191"/>
      <c r="Y1358" s="100"/>
      <c r="Z1358" s="101"/>
      <c r="AA1358" s="102"/>
      <c r="AC1358" s="72"/>
      <c r="AD1358" s="73"/>
      <c r="AE1358" s="69"/>
      <c r="AF1358" s="100"/>
      <c r="AG1358" s="101"/>
      <c r="AH1358" s="102"/>
    </row>
    <row r="1359" ht="14.25" customHeight="1">
      <c r="A1359" s="72"/>
      <c r="B1359" s="73"/>
      <c r="C1359" s="69"/>
      <c r="D1359" s="100"/>
      <c r="E1359" s="101"/>
      <c r="F1359" s="102"/>
      <c r="H1359" s="72"/>
      <c r="I1359" s="73"/>
      <c r="J1359" s="69"/>
      <c r="K1359" s="100"/>
      <c r="L1359" s="101"/>
      <c r="M1359" s="102"/>
      <c r="O1359" s="72"/>
      <c r="P1359" s="73"/>
      <c r="Q1359" s="69"/>
      <c r="R1359" s="100"/>
      <c r="S1359" s="101"/>
      <c r="T1359" s="102"/>
      <c r="V1359" s="72"/>
      <c r="W1359" s="73"/>
      <c r="X1359" s="191"/>
      <c r="Y1359" s="100"/>
      <c r="Z1359" s="101"/>
      <c r="AA1359" s="102"/>
      <c r="AC1359" s="72"/>
      <c r="AD1359" s="73"/>
      <c r="AE1359" s="69"/>
      <c r="AF1359" s="100"/>
      <c r="AG1359" s="101"/>
      <c r="AH1359" s="102"/>
    </row>
    <row r="1360" ht="14.25" customHeight="1">
      <c r="A1360" s="77"/>
      <c r="B1360" s="78"/>
      <c r="C1360" s="82"/>
      <c r="D1360" s="103"/>
      <c r="E1360" s="104"/>
      <c r="F1360" s="105"/>
      <c r="H1360" s="77"/>
      <c r="I1360" s="78"/>
      <c r="J1360" s="82"/>
      <c r="K1360" s="103"/>
      <c r="L1360" s="104"/>
      <c r="M1360" s="105"/>
      <c r="O1360" s="77"/>
      <c r="P1360" s="78"/>
      <c r="Q1360" s="82"/>
      <c r="R1360" s="103"/>
      <c r="S1360" s="104"/>
      <c r="T1360" s="105"/>
      <c r="V1360" s="77"/>
      <c r="W1360" s="78"/>
      <c r="X1360" s="190"/>
      <c r="Y1360" s="103"/>
      <c r="Z1360" s="104"/>
      <c r="AA1360" s="105"/>
      <c r="AC1360" s="77"/>
      <c r="AD1360" s="78"/>
      <c r="AE1360" s="82"/>
      <c r="AF1360" s="103"/>
      <c r="AG1360" s="104"/>
      <c r="AH1360" s="105"/>
    </row>
    <row r="1361" ht="14.25" customHeight="1"/>
    <row r="1362" ht="14.25" customHeight="1">
      <c r="AC1362" s="224"/>
    </row>
    <row r="1363" ht="14.25" customHeight="1">
      <c r="V1363" s="90"/>
      <c r="W1363" s="90"/>
      <c r="X1363" s="90"/>
      <c r="Y1363" s="90"/>
      <c r="Z1363" s="90"/>
      <c r="AC1363" s="224"/>
    </row>
    <row r="1364" ht="14.25" customHeight="1">
      <c r="A1364" s="146"/>
      <c r="B1364" s="146"/>
      <c r="C1364" s="146"/>
      <c r="D1364" s="51" t="s">
        <v>394</v>
      </c>
      <c r="E1364" s="2"/>
      <c r="F1364" s="2"/>
      <c r="G1364" s="2"/>
      <c r="H1364" s="3"/>
      <c r="O1364" s="135"/>
      <c r="V1364" s="55" t="s">
        <v>3</v>
      </c>
      <c r="W1364" s="2"/>
      <c r="X1364" s="3"/>
      <c r="Y1364" s="56">
        <f>A1354+D1354+H1354+K1354+O1354+R1354+V1354+Y1354+AC1354+AF1354</f>
        <v>0</v>
      </c>
      <c r="Z1364" s="3"/>
    </row>
  </sheetData>
  <mergeCells count="1506">
    <mergeCell ref="O515:Q515"/>
    <mergeCell ref="R515:T515"/>
    <mergeCell ref="A525:E525"/>
    <mergeCell ref="V525:X525"/>
    <mergeCell ref="Y525:Z525"/>
    <mergeCell ref="AC515:AE515"/>
    <mergeCell ref="AF515:AH515"/>
    <mergeCell ref="AC540:AG540"/>
    <mergeCell ref="P514:T514"/>
    <mergeCell ref="W514:AA514"/>
    <mergeCell ref="AD514:AH514"/>
    <mergeCell ref="A515:C515"/>
    <mergeCell ref="D515:F515"/>
    <mergeCell ref="H515:J515"/>
    <mergeCell ref="K515:M515"/>
    <mergeCell ref="V515:X515"/>
    <mergeCell ref="Y515:AA515"/>
    <mergeCell ref="P538:S538"/>
    <mergeCell ref="B540:F540"/>
    <mergeCell ref="I540:M540"/>
    <mergeCell ref="P540:T540"/>
    <mergeCell ref="W540:AA540"/>
    <mergeCell ref="A541:C541"/>
    <mergeCell ref="D541:F541"/>
    <mergeCell ref="H541:J541"/>
    <mergeCell ref="K541:M541"/>
    <mergeCell ref="O541:Q541"/>
    <mergeCell ref="R541:T541"/>
    <mergeCell ref="Y541:AA541"/>
    <mergeCell ref="A557:C557"/>
    <mergeCell ref="D557:F557"/>
    <mergeCell ref="H557:J557"/>
    <mergeCell ref="K557:M557"/>
    <mergeCell ref="O557:Q557"/>
    <mergeCell ref="R557:T557"/>
    <mergeCell ref="V557:X557"/>
    <mergeCell ref="Y557:AA557"/>
    <mergeCell ref="V541:X541"/>
    <mergeCell ref="V551:X551"/>
    <mergeCell ref="Y551:Z551"/>
    <mergeCell ref="P554:S554"/>
    <mergeCell ref="B556:F556"/>
    <mergeCell ref="I556:M556"/>
    <mergeCell ref="P556:T556"/>
    <mergeCell ref="W556:AA556"/>
    <mergeCell ref="AC556:AG556"/>
    <mergeCell ref="V567:X567"/>
    <mergeCell ref="Y567:Z567"/>
    <mergeCell ref="P570:S570"/>
    <mergeCell ref="B572:F572"/>
    <mergeCell ref="I572:M572"/>
    <mergeCell ref="P572:T572"/>
    <mergeCell ref="AC572:AG572"/>
    <mergeCell ref="A573:C573"/>
    <mergeCell ref="D573:F573"/>
    <mergeCell ref="H573:J573"/>
    <mergeCell ref="K573:M573"/>
    <mergeCell ref="O573:Q573"/>
    <mergeCell ref="A592:C592"/>
    <mergeCell ref="D592:F592"/>
    <mergeCell ref="H592:J592"/>
    <mergeCell ref="K592:M592"/>
    <mergeCell ref="O592:Q592"/>
    <mergeCell ref="R592:T592"/>
    <mergeCell ref="V592:X592"/>
    <mergeCell ref="Y592:AA592"/>
    <mergeCell ref="R573:T573"/>
    <mergeCell ref="V583:X583"/>
    <mergeCell ref="Y583:Z583"/>
    <mergeCell ref="L587:W587"/>
    <mergeCell ref="P589:S589"/>
    <mergeCell ref="B591:F591"/>
    <mergeCell ref="I591:M591"/>
    <mergeCell ref="W606:AA606"/>
    <mergeCell ref="AC606:AG606"/>
    <mergeCell ref="P591:T591"/>
    <mergeCell ref="W591:AA591"/>
    <mergeCell ref="AC591:AG591"/>
    <mergeCell ref="V601:X601"/>
    <mergeCell ref="Y601:Z601"/>
    <mergeCell ref="P604:S604"/>
    <mergeCell ref="B606:F606"/>
    <mergeCell ref="I606:M606"/>
    <mergeCell ref="P606:T606"/>
    <mergeCell ref="A607:C607"/>
    <mergeCell ref="D607:F607"/>
    <mergeCell ref="H607:J607"/>
    <mergeCell ref="K607:M607"/>
    <mergeCell ref="O607:Q607"/>
    <mergeCell ref="I621:M621"/>
    <mergeCell ref="P621:T621"/>
    <mergeCell ref="AD621:AH621"/>
    <mergeCell ref="R607:T607"/>
    <mergeCell ref="V607:X607"/>
    <mergeCell ref="Y607:AA607"/>
    <mergeCell ref="V616:X616"/>
    <mergeCell ref="Y616:Z616"/>
    <mergeCell ref="P619:S619"/>
    <mergeCell ref="W621:AA621"/>
    <mergeCell ref="P641:S641"/>
    <mergeCell ref="V622:X622"/>
    <mergeCell ref="Y622:AA622"/>
    <mergeCell ref="AC622:AE622"/>
    <mergeCell ref="AF622:AH622"/>
    <mergeCell ref="B621:F621"/>
    <mergeCell ref="A622:C622"/>
    <mergeCell ref="D622:F622"/>
    <mergeCell ref="H622:J622"/>
    <mergeCell ref="K622:M622"/>
    <mergeCell ref="O622:Q622"/>
    <mergeCell ref="R622:T622"/>
    <mergeCell ref="A631:E631"/>
    <mergeCell ref="V631:X631"/>
    <mergeCell ref="Y631:Z631"/>
    <mergeCell ref="I643:M643"/>
    <mergeCell ref="P643:T643"/>
    <mergeCell ref="W643:AA643"/>
    <mergeCell ref="AC643:AG643"/>
    <mergeCell ref="P658:T658"/>
    <mergeCell ref="W658:AA658"/>
    <mergeCell ref="AD658:AH658"/>
    <mergeCell ref="Y659:AA659"/>
    <mergeCell ref="AC659:AE659"/>
    <mergeCell ref="AF659:AH659"/>
    <mergeCell ref="A659:C659"/>
    <mergeCell ref="D659:F659"/>
    <mergeCell ref="H659:J659"/>
    <mergeCell ref="K659:M659"/>
    <mergeCell ref="O659:Q659"/>
    <mergeCell ref="R659:T659"/>
    <mergeCell ref="V659:X659"/>
    <mergeCell ref="B643:F643"/>
    <mergeCell ref="A644:C644"/>
    <mergeCell ref="D644:F644"/>
    <mergeCell ref="H644:J644"/>
    <mergeCell ref="K644:M644"/>
    <mergeCell ref="O644:Q644"/>
    <mergeCell ref="R644:T644"/>
    <mergeCell ref="V644:X644"/>
    <mergeCell ref="Y644:AA644"/>
    <mergeCell ref="V653:X653"/>
    <mergeCell ref="Y653:Z653"/>
    <mergeCell ref="P656:S656"/>
    <mergeCell ref="B658:F658"/>
    <mergeCell ref="I658:M658"/>
    <mergeCell ref="A684:C684"/>
    <mergeCell ref="D684:F684"/>
    <mergeCell ref="H684:J684"/>
    <mergeCell ref="K684:M684"/>
    <mergeCell ref="O684:Q684"/>
    <mergeCell ref="R684:T684"/>
    <mergeCell ref="V684:X684"/>
    <mergeCell ref="Y684:AA684"/>
    <mergeCell ref="A669:E669"/>
    <mergeCell ref="V669:X669"/>
    <mergeCell ref="Y669:Z669"/>
    <mergeCell ref="P681:S681"/>
    <mergeCell ref="B683:F683"/>
    <mergeCell ref="I683:M683"/>
    <mergeCell ref="P683:T683"/>
    <mergeCell ref="W683:AA683"/>
    <mergeCell ref="AC683:AG683"/>
    <mergeCell ref="V693:X693"/>
    <mergeCell ref="Y693:Z693"/>
    <mergeCell ref="P696:S696"/>
    <mergeCell ref="B698:F698"/>
    <mergeCell ref="I698:M698"/>
    <mergeCell ref="AC698:AG698"/>
    <mergeCell ref="P714:T714"/>
    <mergeCell ref="W714:AA714"/>
    <mergeCell ref="AC714:AG714"/>
    <mergeCell ref="A715:C715"/>
    <mergeCell ref="D715:F715"/>
    <mergeCell ref="H715:J715"/>
    <mergeCell ref="K715:M715"/>
    <mergeCell ref="O715:Q715"/>
    <mergeCell ref="R715:T715"/>
    <mergeCell ref="V715:X715"/>
    <mergeCell ref="Y715:AA715"/>
    <mergeCell ref="P698:T698"/>
    <mergeCell ref="W698:AA698"/>
    <mergeCell ref="A699:C699"/>
    <mergeCell ref="D699:F699"/>
    <mergeCell ref="H699:J699"/>
    <mergeCell ref="K699:M699"/>
    <mergeCell ref="O699:Q699"/>
    <mergeCell ref="Y699:AA699"/>
    <mergeCell ref="R699:T699"/>
    <mergeCell ref="V699:X699"/>
    <mergeCell ref="V709:X709"/>
    <mergeCell ref="Y709:Z709"/>
    <mergeCell ref="P712:S712"/>
    <mergeCell ref="B714:F714"/>
    <mergeCell ref="I714:M714"/>
    <mergeCell ref="V724:X724"/>
    <mergeCell ref="Y724:Z724"/>
    <mergeCell ref="P727:S727"/>
    <mergeCell ref="I729:M729"/>
    <mergeCell ref="P729:T729"/>
    <mergeCell ref="W729:AA729"/>
    <mergeCell ref="AD729:AH729"/>
    <mergeCell ref="V730:X730"/>
    <mergeCell ref="Y730:AA730"/>
    <mergeCell ref="AC730:AE730"/>
    <mergeCell ref="AF730:AH730"/>
    <mergeCell ref="B729:F729"/>
    <mergeCell ref="A730:C730"/>
    <mergeCell ref="D730:F730"/>
    <mergeCell ref="H730:J730"/>
    <mergeCell ref="K730:M730"/>
    <mergeCell ref="O730:Q730"/>
    <mergeCell ref="R730:T730"/>
    <mergeCell ref="A752:C752"/>
    <mergeCell ref="D752:F752"/>
    <mergeCell ref="H752:J752"/>
    <mergeCell ref="K752:M752"/>
    <mergeCell ref="O752:Q752"/>
    <mergeCell ref="R752:T752"/>
    <mergeCell ref="V752:X752"/>
    <mergeCell ref="Y752:AA752"/>
    <mergeCell ref="D740:H740"/>
    <mergeCell ref="V740:X740"/>
    <mergeCell ref="Y740:Z740"/>
    <mergeCell ref="P749:S749"/>
    <mergeCell ref="B751:F751"/>
    <mergeCell ref="I751:M751"/>
    <mergeCell ref="P751:T751"/>
    <mergeCell ref="A767:C767"/>
    <mergeCell ref="D767:F767"/>
    <mergeCell ref="H767:J767"/>
    <mergeCell ref="K767:M767"/>
    <mergeCell ref="O767:Q767"/>
    <mergeCell ref="R767:T767"/>
    <mergeCell ref="V767:X767"/>
    <mergeCell ref="Y767:AA767"/>
    <mergeCell ref="W751:AA751"/>
    <mergeCell ref="AC751:AG751"/>
    <mergeCell ref="Y761:Z761"/>
    <mergeCell ref="P764:S764"/>
    <mergeCell ref="B766:F766"/>
    <mergeCell ref="I766:M766"/>
    <mergeCell ref="P766:T766"/>
    <mergeCell ref="W781:AA781"/>
    <mergeCell ref="AD781:AH781"/>
    <mergeCell ref="W766:AA766"/>
    <mergeCell ref="AC766:AG766"/>
    <mergeCell ref="Y776:Z776"/>
    <mergeCell ref="P779:S779"/>
    <mergeCell ref="B781:F781"/>
    <mergeCell ref="I781:M781"/>
    <mergeCell ref="P781:T781"/>
    <mergeCell ref="Y782:AA782"/>
    <mergeCell ref="AC782:AE782"/>
    <mergeCell ref="AF782:AH782"/>
    <mergeCell ref="A782:C782"/>
    <mergeCell ref="D782:F782"/>
    <mergeCell ref="H782:J782"/>
    <mergeCell ref="K782:M782"/>
    <mergeCell ref="O782:Q782"/>
    <mergeCell ref="R782:T782"/>
    <mergeCell ref="V782:X782"/>
    <mergeCell ref="P808:T808"/>
    <mergeCell ref="W808:AA808"/>
    <mergeCell ref="AC808:AG808"/>
    <mergeCell ref="D792:H792"/>
    <mergeCell ref="V792:X792"/>
    <mergeCell ref="Y792:Z792"/>
    <mergeCell ref="L803:W803"/>
    <mergeCell ref="P806:S806"/>
    <mergeCell ref="B808:F808"/>
    <mergeCell ref="I808:M808"/>
    <mergeCell ref="A809:C809"/>
    <mergeCell ref="D809:F809"/>
    <mergeCell ref="H809:J809"/>
    <mergeCell ref="K809:M809"/>
    <mergeCell ref="O809:Q809"/>
    <mergeCell ref="R809:T809"/>
    <mergeCell ref="V809:X809"/>
    <mergeCell ref="Y809:AA809"/>
    <mergeCell ref="Y818:Z818"/>
    <mergeCell ref="P821:S821"/>
    <mergeCell ref="I823:M823"/>
    <mergeCell ref="P823:T823"/>
    <mergeCell ref="W823:AA823"/>
    <mergeCell ref="AD823:AH823"/>
    <mergeCell ref="V824:X824"/>
    <mergeCell ref="Y824:AA824"/>
    <mergeCell ref="AC824:AE824"/>
    <mergeCell ref="AF824:AH824"/>
    <mergeCell ref="B823:F823"/>
    <mergeCell ref="A824:C824"/>
    <mergeCell ref="D824:F824"/>
    <mergeCell ref="H824:J824"/>
    <mergeCell ref="K824:M824"/>
    <mergeCell ref="O824:Q824"/>
    <mergeCell ref="R824:T824"/>
    <mergeCell ref="A848:C848"/>
    <mergeCell ref="D848:F848"/>
    <mergeCell ref="H848:J848"/>
    <mergeCell ref="K848:M848"/>
    <mergeCell ref="O848:Q848"/>
    <mergeCell ref="R848:T848"/>
    <mergeCell ref="V848:X848"/>
    <mergeCell ref="Y848:AA848"/>
    <mergeCell ref="D834:H834"/>
    <mergeCell ref="V834:X834"/>
    <mergeCell ref="Y834:Z834"/>
    <mergeCell ref="P845:S845"/>
    <mergeCell ref="B847:F847"/>
    <mergeCell ref="I847:M847"/>
    <mergeCell ref="P847:T847"/>
    <mergeCell ref="A863:C863"/>
    <mergeCell ref="D863:F863"/>
    <mergeCell ref="H863:J863"/>
    <mergeCell ref="K863:M863"/>
    <mergeCell ref="O863:Q863"/>
    <mergeCell ref="R863:T863"/>
    <mergeCell ref="V863:X863"/>
    <mergeCell ref="Y863:AA863"/>
    <mergeCell ref="W847:AA847"/>
    <mergeCell ref="AC847:AG847"/>
    <mergeCell ref="Y857:Z857"/>
    <mergeCell ref="P860:S860"/>
    <mergeCell ref="B862:F862"/>
    <mergeCell ref="I862:M862"/>
    <mergeCell ref="P862:T862"/>
    <mergeCell ref="W877:AA877"/>
    <mergeCell ref="AD877:AH877"/>
    <mergeCell ref="W862:AA862"/>
    <mergeCell ref="AC862:AG862"/>
    <mergeCell ref="Y872:Z872"/>
    <mergeCell ref="P875:S875"/>
    <mergeCell ref="B877:F877"/>
    <mergeCell ref="I877:M877"/>
    <mergeCell ref="P877:T877"/>
    <mergeCell ref="Y878:AA878"/>
    <mergeCell ref="AC878:AE878"/>
    <mergeCell ref="AF878:AH878"/>
    <mergeCell ref="A878:C878"/>
    <mergeCell ref="D878:F878"/>
    <mergeCell ref="H878:J878"/>
    <mergeCell ref="K878:M878"/>
    <mergeCell ref="O878:Q878"/>
    <mergeCell ref="R878:T878"/>
    <mergeCell ref="V878:X878"/>
    <mergeCell ref="W902:AA902"/>
    <mergeCell ref="AC902:AG902"/>
    <mergeCell ref="Y933:AA933"/>
    <mergeCell ref="AC933:AE933"/>
    <mergeCell ref="AF933:AH933"/>
    <mergeCell ref="A933:C933"/>
    <mergeCell ref="D933:F933"/>
    <mergeCell ref="H933:J933"/>
    <mergeCell ref="K933:M933"/>
    <mergeCell ref="O933:Q933"/>
    <mergeCell ref="R933:T933"/>
    <mergeCell ref="V933:X933"/>
    <mergeCell ref="D888:H888"/>
    <mergeCell ref="V888:X888"/>
    <mergeCell ref="Y888:Z888"/>
    <mergeCell ref="P900:S900"/>
    <mergeCell ref="B902:F902"/>
    <mergeCell ref="I902:M902"/>
    <mergeCell ref="P902:T902"/>
    <mergeCell ref="A903:C903"/>
    <mergeCell ref="D903:F903"/>
    <mergeCell ref="H903:J903"/>
    <mergeCell ref="K903:M903"/>
    <mergeCell ref="O903:Q903"/>
    <mergeCell ref="R903:T903"/>
    <mergeCell ref="V903:X903"/>
    <mergeCell ref="Y903:AA903"/>
    <mergeCell ref="Y912:Z912"/>
    <mergeCell ref="P915:S915"/>
    <mergeCell ref="I917:M917"/>
    <mergeCell ref="P917:T917"/>
    <mergeCell ref="W917:AA917"/>
    <mergeCell ref="AC917:AG917"/>
    <mergeCell ref="B917:F917"/>
    <mergeCell ref="A918:C918"/>
    <mergeCell ref="D918:F918"/>
    <mergeCell ref="H918:J918"/>
    <mergeCell ref="K918:M918"/>
    <mergeCell ref="O918:Q918"/>
    <mergeCell ref="R918:T918"/>
    <mergeCell ref="W932:AA932"/>
    <mergeCell ref="AD932:AH932"/>
    <mergeCell ref="V918:X918"/>
    <mergeCell ref="Y918:AA918"/>
    <mergeCell ref="Y927:Z927"/>
    <mergeCell ref="P930:S930"/>
    <mergeCell ref="B932:F932"/>
    <mergeCell ref="I932:M932"/>
    <mergeCell ref="P932:T932"/>
    <mergeCell ref="W956:AA956"/>
    <mergeCell ref="AC956:AG956"/>
    <mergeCell ref="Y987:AA987"/>
    <mergeCell ref="AC987:AE987"/>
    <mergeCell ref="AF987:AH987"/>
    <mergeCell ref="A987:C987"/>
    <mergeCell ref="D987:F987"/>
    <mergeCell ref="H987:J987"/>
    <mergeCell ref="K987:M987"/>
    <mergeCell ref="O987:Q987"/>
    <mergeCell ref="R987:T987"/>
    <mergeCell ref="V987:X987"/>
    <mergeCell ref="D997:H997"/>
    <mergeCell ref="V997:X997"/>
    <mergeCell ref="Y997:Z997"/>
    <mergeCell ref="P1009:S1009"/>
    <mergeCell ref="I1011:M1011"/>
    <mergeCell ref="P1011:T1011"/>
    <mergeCell ref="Y1011:AC1011"/>
    <mergeCell ref="B1011:F1011"/>
    <mergeCell ref="A1012:C1012"/>
    <mergeCell ref="D1012:F1012"/>
    <mergeCell ref="H1012:J1012"/>
    <mergeCell ref="K1012:M1012"/>
    <mergeCell ref="O1012:Q1012"/>
    <mergeCell ref="R1012:T1012"/>
    <mergeCell ref="D943:H943"/>
    <mergeCell ref="V943:X943"/>
    <mergeCell ref="Y943:Z943"/>
    <mergeCell ref="P954:S954"/>
    <mergeCell ref="B956:F956"/>
    <mergeCell ref="I956:M956"/>
    <mergeCell ref="P956:T956"/>
    <mergeCell ref="A957:C957"/>
    <mergeCell ref="D957:F957"/>
    <mergeCell ref="H957:J957"/>
    <mergeCell ref="K957:M957"/>
    <mergeCell ref="O957:Q957"/>
    <mergeCell ref="R957:T957"/>
    <mergeCell ref="V957:X957"/>
    <mergeCell ref="Y957:AA957"/>
    <mergeCell ref="Y966:Z966"/>
    <mergeCell ref="P969:S969"/>
    <mergeCell ref="I971:M971"/>
    <mergeCell ref="P971:T971"/>
    <mergeCell ref="W971:AA971"/>
    <mergeCell ref="AC971:AG971"/>
    <mergeCell ref="B971:F971"/>
    <mergeCell ref="A972:C972"/>
    <mergeCell ref="D972:F972"/>
    <mergeCell ref="H972:J972"/>
    <mergeCell ref="K972:M972"/>
    <mergeCell ref="O972:Q972"/>
    <mergeCell ref="R972:T972"/>
    <mergeCell ref="W986:AA986"/>
    <mergeCell ref="AD986:AH986"/>
    <mergeCell ref="V972:X972"/>
    <mergeCell ref="Y972:AA972"/>
    <mergeCell ref="Y981:Z981"/>
    <mergeCell ref="P984:S984"/>
    <mergeCell ref="B986:F986"/>
    <mergeCell ref="I986:M986"/>
    <mergeCell ref="P986:T986"/>
    <mergeCell ref="R1021:S1021"/>
    <mergeCell ref="L1024:W1024"/>
    <mergeCell ref="P1027:S1027"/>
    <mergeCell ref="I1029:M1029"/>
    <mergeCell ref="P1029:T1029"/>
    <mergeCell ref="W1029:AA1029"/>
    <mergeCell ref="AC1029:AG1029"/>
    <mergeCell ref="B1029:F1029"/>
    <mergeCell ref="A1030:C1030"/>
    <mergeCell ref="D1030:F1030"/>
    <mergeCell ref="H1030:J1030"/>
    <mergeCell ref="K1030:M1030"/>
    <mergeCell ref="O1030:Q1030"/>
    <mergeCell ref="R1030:T1030"/>
    <mergeCell ref="W1044:AA1044"/>
    <mergeCell ref="AD1044:AH1044"/>
    <mergeCell ref="V1030:X1030"/>
    <mergeCell ref="Y1030:AA1030"/>
    <mergeCell ref="Y1039:Z1039"/>
    <mergeCell ref="P1042:S1042"/>
    <mergeCell ref="B1044:F1044"/>
    <mergeCell ref="I1044:M1044"/>
    <mergeCell ref="P1044:T1044"/>
    <mergeCell ref="Y1045:AA1045"/>
    <mergeCell ref="AC1045:AE1045"/>
    <mergeCell ref="AF1045:AH1045"/>
    <mergeCell ref="A1045:C1045"/>
    <mergeCell ref="D1045:F1045"/>
    <mergeCell ref="H1045:J1045"/>
    <mergeCell ref="K1045:M1045"/>
    <mergeCell ref="O1045:Q1045"/>
    <mergeCell ref="R1045:T1045"/>
    <mergeCell ref="V1045:X1045"/>
    <mergeCell ref="A1070:C1070"/>
    <mergeCell ref="D1070:F1070"/>
    <mergeCell ref="H1070:J1070"/>
    <mergeCell ref="K1070:M1070"/>
    <mergeCell ref="O1070:Q1070"/>
    <mergeCell ref="R1070:T1070"/>
    <mergeCell ref="V1070:X1070"/>
    <mergeCell ref="Y1070:AA1070"/>
    <mergeCell ref="D1055:H1055"/>
    <mergeCell ref="V1055:X1055"/>
    <mergeCell ref="Y1055:Z1055"/>
    <mergeCell ref="P1067:S1067"/>
    <mergeCell ref="B1069:F1069"/>
    <mergeCell ref="I1069:M1069"/>
    <mergeCell ref="P1069:T1069"/>
    <mergeCell ref="R21:T21"/>
    <mergeCell ref="V21:X21"/>
    <mergeCell ref="K13:L13"/>
    <mergeCell ref="P18:S18"/>
    <mergeCell ref="I20:M20"/>
    <mergeCell ref="P20:T20"/>
    <mergeCell ref="W20:AA20"/>
    <mergeCell ref="AD20:AH20"/>
    <mergeCell ref="H21:J21"/>
    <mergeCell ref="AF21:AH21"/>
    <mergeCell ref="AC24:AD24"/>
    <mergeCell ref="AC25:AD25"/>
    <mergeCell ref="AF25:AG25"/>
    <mergeCell ref="Y21:AA21"/>
    <mergeCell ref="AC21:AE21"/>
    <mergeCell ref="AC22:AD22"/>
    <mergeCell ref="AF22:AG22"/>
    <mergeCell ref="AC23:AD23"/>
    <mergeCell ref="AF23:AG23"/>
    <mergeCell ref="AF24:AG24"/>
    <mergeCell ref="D9:E9"/>
    <mergeCell ref="D10:E10"/>
    <mergeCell ref="A11:B11"/>
    <mergeCell ref="D11:E11"/>
    <mergeCell ref="A12:B12"/>
    <mergeCell ref="D12:E12"/>
    <mergeCell ref="A13:B13"/>
    <mergeCell ref="A25:B25"/>
    <mergeCell ref="D25:E25"/>
    <mergeCell ref="A26:B26"/>
    <mergeCell ref="D26:E26"/>
    <mergeCell ref="B28:F28"/>
    <mergeCell ref="D13:E13"/>
    <mergeCell ref="D14:E14"/>
    <mergeCell ref="B20:F20"/>
    <mergeCell ref="A21:C21"/>
    <mergeCell ref="D21:F21"/>
    <mergeCell ref="A22:B22"/>
    <mergeCell ref="A23:B23"/>
    <mergeCell ref="A24:B24"/>
    <mergeCell ref="D24:E24"/>
    <mergeCell ref="K24:L24"/>
    <mergeCell ref="O24:P24"/>
    <mergeCell ref="R24:S24"/>
    <mergeCell ref="V24:W24"/>
    <mergeCell ref="Y24:Z24"/>
    <mergeCell ref="R25:S25"/>
    <mergeCell ref="R26:S26"/>
    <mergeCell ref="Y25:Z25"/>
    <mergeCell ref="Y26:Z26"/>
    <mergeCell ref="AC26:AD26"/>
    <mergeCell ref="AF26:AG26"/>
    <mergeCell ref="H24:I24"/>
    <mergeCell ref="H25:I25"/>
    <mergeCell ref="O25:P25"/>
    <mergeCell ref="V25:W25"/>
    <mergeCell ref="H26:I26"/>
    <mergeCell ref="O26:P26"/>
    <mergeCell ref="V26:W26"/>
    <mergeCell ref="O46:P46"/>
    <mergeCell ref="O47:P47"/>
    <mergeCell ref="O42:Q42"/>
    <mergeCell ref="O43:P43"/>
    <mergeCell ref="O44:P44"/>
    <mergeCell ref="R44:S44"/>
    <mergeCell ref="O45:P45"/>
    <mergeCell ref="R45:S45"/>
    <mergeCell ref="R46:S46"/>
    <mergeCell ref="Y58:Z58"/>
    <mergeCell ref="Y59:Z59"/>
    <mergeCell ref="V60:W60"/>
    <mergeCell ref="Y60:Z60"/>
    <mergeCell ref="V61:W61"/>
    <mergeCell ref="Y61:Z61"/>
    <mergeCell ref="P54:S54"/>
    <mergeCell ref="W56:AA56"/>
    <mergeCell ref="AC56:AG56"/>
    <mergeCell ref="V57:X57"/>
    <mergeCell ref="Y57:AA57"/>
    <mergeCell ref="V58:W58"/>
    <mergeCell ref="V59:W59"/>
    <mergeCell ref="A43:B43"/>
    <mergeCell ref="A44:B44"/>
    <mergeCell ref="D44:E44"/>
    <mergeCell ref="A45:B45"/>
    <mergeCell ref="D45:E45"/>
    <mergeCell ref="A46:B46"/>
    <mergeCell ref="A47:B47"/>
    <mergeCell ref="A60:B60"/>
    <mergeCell ref="D60:E60"/>
    <mergeCell ref="A61:B61"/>
    <mergeCell ref="D61:E61"/>
    <mergeCell ref="A62:B62"/>
    <mergeCell ref="D62:E62"/>
    <mergeCell ref="D46:E46"/>
    <mergeCell ref="D47:E47"/>
    <mergeCell ref="D48:E48"/>
    <mergeCell ref="B56:F56"/>
    <mergeCell ref="A57:C57"/>
    <mergeCell ref="D57:F57"/>
    <mergeCell ref="D58:E58"/>
    <mergeCell ref="R58:S58"/>
    <mergeCell ref="R59:S59"/>
    <mergeCell ref="R47:S47"/>
    <mergeCell ref="R48:S48"/>
    <mergeCell ref="P56:T56"/>
    <mergeCell ref="O57:Q57"/>
    <mergeCell ref="R57:T57"/>
    <mergeCell ref="O58:P58"/>
    <mergeCell ref="O59:P59"/>
    <mergeCell ref="K60:L60"/>
    <mergeCell ref="K61:L61"/>
    <mergeCell ref="H57:J57"/>
    <mergeCell ref="H58:I58"/>
    <mergeCell ref="K58:L58"/>
    <mergeCell ref="H59:I59"/>
    <mergeCell ref="K59:L59"/>
    <mergeCell ref="H60:I60"/>
    <mergeCell ref="H61:I61"/>
    <mergeCell ref="H112:J112"/>
    <mergeCell ref="K112:M112"/>
    <mergeCell ref="B119:C119"/>
    <mergeCell ref="I119:J119"/>
    <mergeCell ref="P119:Q119"/>
    <mergeCell ref="B120:C120"/>
    <mergeCell ref="I120:J120"/>
    <mergeCell ref="H122:J122"/>
    <mergeCell ref="K122:L122"/>
    <mergeCell ref="P126:S126"/>
    <mergeCell ref="I128:M128"/>
    <mergeCell ref="P128:T128"/>
    <mergeCell ref="W128:AA128"/>
    <mergeCell ref="AD128:AH128"/>
    <mergeCell ref="V129:X129"/>
    <mergeCell ref="Y129:AA129"/>
    <mergeCell ref="AC129:AE129"/>
    <mergeCell ref="AF129:AH129"/>
    <mergeCell ref="B128:F128"/>
    <mergeCell ref="A129:C129"/>
    <mergeCell ref="D129:F129"/>
    <mergeCell ref="H129:J129"/>
    <mergeCell ref="K129:M129"/>
    <mergeCell ref="O129:Q129"/>
    <mergeCell ref="R129:T129"/>
    <mergeCell ref="B136:C136"/>
    <mergeCell ref="I136:J136"/>
    <mergeCell ref="AD136:AE136"/>
    <mergeCell ref="B137:C137"/>
    <mergeCell ref="I137:J137"/>
    <mergeCell ref="W137:X137"/>
    <mergeCell ref="AD137:AE137"/>
    <mergeCell ref="P137:Q137"/>
    <mergeCell ref="P138:Q138"/>
    <mergeCell ref="W138:X138"/>
    <mergeCell ref="B139:H139"/>
    <mergeCell ref="K139:L139"/>
    <mergeCell ref="K140:L140"/>
    <mergeCell ref="P151:S151"/>
    <mergeCell ref="H154:J154"/>
    <mergeCell ref="K154:M154"/>
    <mergeCell ref="V154:X154"/>
    <mergeCell ref="Y154:AA154"/>
    <mergeCell ref="B153:F153"/>
    <mergeCell ref="I153:M153"/>
    <mergeCell ref="P153:T153"/>
    <mergeCell ref="W153:AA153"/>
    <mergeCell ref="AC153:AG153"/>
    <mergeCell ref="A154:C154"/>
    <mergeCell ref="D154:F154"/>
    <mergeCell ref="O154:Q154"/>
    <mergeCell ref="R154:T154"/>
    <mergeCell ref="B161:C161"/>
    <mergeCell ref="I161:J161"/>
    <mergeCell ref="B162:C162"/>
    <mergeCell ref="I162:J162"/>
    <mergeCell ref="W162:X162"/>
    <mergeCell ref="I170:M170"/>
    <mergeCell ref="P170:T170"/>
    <mergeCell ref="W170:AA170"/>
    <mergeCell ref="AD170:AH170"/>
    <mergeCell ref="P162:Q162"/>
    <mergeCell ref="P163:Q163"/>
    <mergeCell ref="W163:X163"/>
    <mergeCell ref="H164:J164"/>
    <mergeCell ref="K164:L164"/>
    <mergeCell ref="P168:S168"/>
    <mergeCell ref="B170:F170"/>
    <mergeCell ref="Y171:AA171"/>
    <mergeCell ref="AC171:AE171"/>
    <mergeCell ref="AF171:AH171"/>
    <mergeCell ref="A171:C171"/>
    <mergeCell ref="D171:F171"/>
    <mergeCell ref="H171:J171"/>
    <mergeCell ref="K171:M171"/>
    <mergeCell ref="O171:Q171"/>
    <mergeCell ref="R171:T171"/>
    <mergeCell ref="V171:X171"/>
    <mergeCell ref="L1:W1"/>
    <mergeCell ref="L3:W3"/>
    <mergeCell ref="P5:S5"/>
    <mergeCell ref="I7:M7"/>
    <mergeCell ref="P7:T7"/>
    <mergeCell ref="V7:X7"/>
    <mergeCell ref="Y7:Z7"/>
    <mergeCell ref="H9:I9"/>
    <mergeCell ref="K9:L9"/>
    <mergeCell ref="B7:F7"/>
    <mergeCell ref="A8:C8"/>
    <mergeCell ref="D8:F8"/>
    <mergeCell ref="H8:J8"/>
    <mergeCell ref="K8:M8"/>
    <mergeCell ref="A9:B9"/>
    <mergeCell ref="A10:B10"/>
    <mergeCell ref="H10:I10"/>
    <mergeCell ref="K10:L10"/>
    <mergeCell ref="H11:I11"/>
    <mergeCell ref="K11:L11"/>
    <mergeCell ref="H12:I12"/>
    <mergeCell ref="K12:L12"/>
    <mergeCell ref="H13:I13"/>
    <mergeCell ref="K21:M21"/>
    <mergeCell ref="O21:Q21"/>
    <mergeCell ref="H22:I22"/>
    <mergeCell ref="K22:L22"/>
    <mergeCell ref="O22:P22"/>
    <mergeCell ref="R22:S22"/>
    <mergeCell ref="V22:W22"/>
    <mergeCell ref="Y22:Z22"/>
    <mergeCell ref="D22:E22"/>
    <mergeCell ref="D23:E23"/>
    <mergeCell ref="H23:I23"/>
    <mergeCell ref="K23:L23"/>
    <mergeCell ref="O23:P23"/>
    <mergeCell ref="R23:S23"/>
    <mergeCell ref="V23:W23"/>
    <mergeCell ref="Y23:Z23"/>
    <mergeCell ref="Y43:Z43"/>
    <mergeCell ref="Y44:Z44"/>
    <mergeCell ref="V45:W45"/>
    <mergeCell ref="Y45:Z45"/>
    <mergeCell ref="V46:W46"/>
    <mergeCell ref="Y46:Z46"/>
    <mergeCell ref="V47:W47"/>
    <mergeCell ref="Y47:Z47"/>
    <mergeCell ref="P41:T41"/>
    <mergeCell ref="W41:AA41"/>
    <mergeCell ref="AC41:AG41"/>
    <mergeCell ref="V42:X42"/>
    <mergeCell ref="Y42:AA42"/>
    <mergeCell ref="V43:W43"/>
    <mergeCell ref="V44:W44"/>
    <mergeCell ref="P71:T71"/>
    <mergeCell ref="O72:Q72"/>
    <mergeCell ref="R72:T72"/>
    <mergeCell ref="V72:X72"/>
    <mergeCell ref="Y72:AA72"/>
    <mergeCell ref="AC72:AE72"/>
    <mergeCell ref="AF72:AH72"/>
    <mergeCell ref="O60:P60"/>
    <mergeCell ref="R60:S60"/>
    <mergeCell ref="O61:P61"/>
    <mergeCell ref="R61:S61"/>
    <mergeCell ref="P69:S69"/>
    <mergeCell ref="W71:AA71"/>
    <mergeCell ref="AD71:AH71"/>
    <mergeCell ref="K25:L25"/>
    <mergeCell ref="K26:L26"/>
    <mergeCell ref="K28:L28"/>
    <mergeCell ref="K29:L29"/>
    <mergeCell ref="P39:S39"/>
    <mergeCell ref="B41:F41"/>
    <mergeCell ref="I41:M41"/>
    <mergeCell ref="A42:C42"/>
    <mergeCell ref="D42:F42"/>
    <mergeCell ref="K42:M42"/>
    <mergeCell ref="R42:T42"/>
    <mergeCell ref="D43:E43"/>
    <mergeCell ref="K43:L43"/>
    <mergeCell ref="R43:S43"/>
    <mergeCell ref="H42:J42"/>
    <mergeCell ref="H43:I43"/>
    <mergeCell ref="H44:I44"/>
    <mergeCell ref="K44:L44"/>
    <mergeCell ref="H45:I45"/>
    <mergeCell ref="K45:L45"/>
    <mergeCell ref="K46:L46"/>
    <mergeCell ref="K47:L47"/>
    <mergeCell ref="A58:B58"/>
    <mergeCell ref="A59:B59"/>
    <mergeCell ref="D59:E59"/>
    <mergeCell ref="H62:I62"/>
    <mergeCell ref="K62:L62"/>
    <mergeCell ref="O62:P62"/>
    <mergeCell ref="R62:S62"/>
    <mergeCell ref="V62:W62"/>
    <mergeCell ref="Y62:Z62"/>
    <mergeCell ref="H46:I46"/>
    <mergeCell ref="H47:I47"/>
    <mergeCell ref="H48:I48"/>
    <mergeCell ref="H50:J50"/>
    <mergeCell ref="K50:L50"/>
    <mergeCell ref="I56:M56"/>
    <mergeCell ref="K57:M57"/>
    <mergeCell ref="H65:J65"/>
    <mergeCell ref="K65:L65"/>
    <mergeCell ref="B71:F71"/>
    <mergeCell ref="I71:M71"/>
    <mergeCell ref="D72:F72"/>
    <mergeCell ref="H72:J72"/>
    <mergeCell ref="K72:M72"/>
    <mergeCell ref="V73:W73"/>
    <mergeCell ref="Y73:Z73"/>
    <mergeCell ref="AC73:AD73"/>
    <mergeCell ref="AF73:AG73"/>
    <mergeCell ref="R73:S73"/>
    <mergeCell ref="R74:S74"/>
    <mergeCell ref="V74:W74"/>
    <mergeCell ref="Y74:Z74"/>
    <mergeCell ref="AC74:AD74"/>
    <mergeCell ref="AF74:AG74"/>
    <mergeCell ref="A72:C72"/>
    <mergeCell ref="A73:B73"/>
    <mergeCell ref="H73:I73"/>
    <mergeCell ref="O73:P73"/>
    <mergeCell ref="A74:B74"/>
    <mergeCell ref="H74:I74"/>
    <mergeCell ref="O74:P74"/>
    <mergeCell ref="K75:L75"/>
    <mergeCell ref="K76:L76"/>
    <mergeCell ref="H77:I77"/>
    <mergeCell ref="K77:L77"/>
    <mergeCell ref="K79:L79"/>
    <mergeCell ref="K80:L80"/>
    <mergeCell ref="K73:L73"/>
    <mergeCell ref="K74:L74"/>
    <mergeCell ref="H75:I75"/>
    <mergeCell ref="O75:P75"/>
    <mergeCell ref="V75:W75"/>
    <mergeCell ref="H76:I76"/>
    <mergeCell ref="O76:P76"/>
    <mergeCell ref="V76:W76"/>
    <mergeCell ref="AF77:AG77"/>
    <mergeCell ref="AF78:AG78"/>
    <mergeCell ref="D77:E77"/>
    <mergeCell ref="B79:H79"/>
    <mergeCell ref="D73:E73"/>
    <mergeCell ref="D74:E74"/>
    <mergeCell ref="A75:B75"/>
    <mergeCell ref="D75:E75"/>
    <mergeCell ref="A76:B76"/>
    <mergeCell ref="D76:E76"/>
    <mergeCell ref="A77:B77"/>
    <mergeCell ref="O112:Q112"/>
    <mergeCell ref="R112:T112"/>
    <mergeCell ref="V112:X112"/>
    <mergeCell ref="Y112:AA112"/>
    <mergeCell ref="B111:F111"/>
    <mergeCell ref="I111:M111"/>
    <mergeCell ref="P111:T111"/>
    <mergeCell ref="W111:AA111"/>
    <mergeCell ref="AC111:AG111"/>
    <mergeCell ref="A112:C112"/>
    <mergeCell ref="D112:F112"/>
    <mergeCell ref="Y75:Z75"/>
    <mergeCell ref="AC75:AD75"/>
    <mergeCell ref="AF75:AG75"/>
    <mergeCell ref="Y76:Z76"/>
    <mergeCell ref="AC76:AD76"/>
    <mergeCell ref="AF76:AG76"/>
    <mergeCell ref="AC77:AD77"/>
    <mergeCell ref="R75:S75"/>
    <mergeCell ref="R76:S76"/>
    <mergeCell ref="O77:P77"/>
    <mergeCell ref="R77:S77"/>
    <mergeCell ref="V77:W77"/>
    <mergeCell ref="Y77:Z77"/>
    <mergeCell ref="L90:W90"/>
    <mergeCell ref="K95:M95"/>
    <mergeCell ref="O95:Q95"/>
    <mergeCell ref="P102:Q102"/>
    <mergeCell ref="P103:Q103"/>
    <mergeCell ref="K106:L106"/>
    <mergeCell ref="P109:S109"/>
    <mergeCell ref="R95:T95"/>
    <mergeCell ref="V95:X95"/>
    <mergeCell ref="W102:X102"/>
    <mergeCell ref="W103:X103"/>
    <mergeCell ref="P92:S92"/>
    <mergeCell ref="B94:F94"/>
    <mergeCell ref="I94:M94"/>
    <mergeCell ref="P94:T94"/>
    <mergeCell ref="W94:AA94"/>
    <mergeCell ref="AC94:AG94"/>
    <mergeCell ref="A95:C95"/>
    <mergeCell ref="Y95:AA95"/>
    <mergeCell ref="D95:F95"/>
    <mergeCell ref="H95:J95"/>
    <mergeCell ref="B102:C102"/>
    <mergeCell ref="B103:C103"/>
    <mergeCell ref="I103:J103"/>
    <mergeCell ref="I104:J104"/>
    <mergeCell ref="H106:J106"/>
    <mergeCell ref="P120:Q120"/>
    <mergeCell ref="W120:X120"/>
    <mergeCell ref="W121:X121"/>
    <mergeCell ref="AD178:AE178"/>
    <mergeCell ref="AD179:AE179"/>
    <mergeCell ref="B178:C178"/>
    <mergeCell ref="P178:Q178"/>
    <mergeCell ref="W178:X178"/>
    <mergeCell ref="I179:J179"/>
    <mergeCell ref="P179:Q179"/>
    <mergeCell ref="W179:X179"/>
    <mergeCell ref="I180:J180"/>
    <mergeCell ref="P199:T199"/>
    <mergeCell ref="W199:AA199"/>
    <mergeCell ref="AC199:AG199"/>
    <mergeCell ref="A200:C200"/>
    <mergeCell ref="D200:F200"/>
    <mergeCell ref="H200:J200"/>
    <mergeCell ref="K200:M200"/>
    <mergeCell ref="O200:Q200"/>
    <mergeCell ref="R200:T200"/>
    <mergeCell ref="V200:X200"/>
    <mergeCell ref="Y200:AA200"/>
    <mergeCell ref="B179:C179"/>
    <mergeCell ref="B183:H183"/>
    <mergeCell ref="K183:L183"/>
    <mergeCell ref="K184:L184"/>
    <mergeCell ref="P197:S197"/>
    <mergeCell ref="B199:F199"/>
    <mergeCell ref="I199:M199"/>
    <mergeCell ref="B207:C207"/>
    <mergeCell ref="I207:J207"/>
    <mergeCell ref="P207:Q207"/>
    <mergeCell ref="B208:C208"/>
    <mergeCell ref="I208:J208"/>
    <mergeCell ref="P208:Q208"/>
    <mergeCell ref="W209:X209"/>
    <mergeCell ref="H210:J210"/>
    <mergeCell ref="K210:L210"/>
    <mergeCell ref="W210:X210"/>
    <mergeCell ref="A212:I212"/>
    <mergeCell ref="P214:S214"/>
    <mergeCell ref="I216:M216"/>
    <mergeCell ref="R216:V216"/>
    <mergeCell ref="A294:C294"/>
    <mergeCell ref="D294:F294"/>
    <mergeCell ref="H294:J294"/>
    <mergeCell ref="K294:M294"/>
    <mergeCell ref="O294:Q294"/>
    <mergeCell ref="R294:T294"/>
    <mergeCell ref="V294:X294"/>
    <mergeCell ref="Y294:AA294"/>
    <mergeCell ref="A282:C282"/>
    <mergeCell ref="D282:F282"/>
    <mergeCell ref="I288:K288"/>
    <mergeCell ref="L288:M288"/>
    <mergeCell ref="P291:S291"/>
    <mergeCell ref="B293:F293"/>
    <mergeCell ref="I293:M293"/>
    <mergeCell ref="P293:T293"/>
    <mergeCell ref="W293:AA293"/>
    <mergeCell ref="AC293:AG293"/>
    <mergeCell ref="V302:X302"/>
    <mergeCell ref="Y302:Z302"/>
    <mergeCell ref="P306:S306"/>
    <mergeCell ref="B308:F308"/>
    <mergeCell ref="W308:AA308"/>
    <mergeCell ref="AC309:AE309"/>
    <mergeCell ref="AF309:AH309"/>
    <mergeCell ref="AC332:AG332"/>
    <mergeCell ref="I308:M308"/>
    <mergeCell ref="P308:T308"/>
    <mergeCell ref="AD308:AH308"/>
    <mergeCell ref="A309:C309"/>
    <mergeCell ref="D309:F309"/>
    <mergeCell ref="H309:J309"/>
    <mergeCell ref="K309:M309"/>
    <mergeCell ref="D333:F333"/>
    <mergeCell ref="H333:J333"/>
    <mergeCell ref="K333:M333"/>
    <mergeCell ref="O333:Q333"/>
    <mergeCell ref="I332:M332"/>
    <mergeCell ref="H340:I340"/>
    <mergeCell ref="B347:F347"/>
    <mergeCell ref="I347:M347"/>
    <mergeCell ref="A348:C348"/>
    <mergeCell ref="D348:F348"/>
    <mergeCell ref="H348:J348"/>
    <mergeCell ref="K348:M348"/>
    <mergeCell ref="O309:Q309"/>
    <mergeCell ref="R309:T309"/>
    <mergeCell ref="A318:E318"/>
    <mergeCell ref="B332:F332"/>
    <mergeCell ref="P332:T332"/>
    <mergeCell ref="A333:C333"/>
    <mergeCell ref="R333:T333"/>
    <mergeCell ref="V309:X309"/>
    <mergeCell ref="Y309:AA309"/>
    <mergeCell ref="V317:X317"/>
    <mergeCell ref="Y317:Z317"/>
    <mergeCell ref="P330:S330"/>
    <mergeCell ref="W332:AA332"/>
    <mergeCell ref="Y333:AA333"/>
    <mergeCell ref="V333:X333"/>
    <mergeCell ref="V341:X341"/>
    <mergeCell ref="Y341:Z341"/>
    <mergeCell ref="P345:S345"/>
    <mergeCell ref="P347:T347"/>
    <mergeCell ref="W347:AA347"/>
    <mergeCell ref="AC347:AG347"/>
    <mergeCell ref="O348:Q348"/>
    <mergeCell ref="R348:T348"/>
    <mergeCell ref="V348:X348"/>
    <mergeCell ref="Y348:AA348"/>
    <mergeCell ref="V357:X357"/>
    <mergeCell ref="Y357:Z357"/>
    <mergeCell ref="L361:W361"/>
    <mergeCell ref="D381:F381"/>
    <mergeCell ref="B396:F396"/>
    <mergeCell ref="I396:M396"/>
    <mergeCell ref="A397:C397"/>
    <mergeCell ref="D397:F397"/>
    <mergeCell ref="H397:J397"/>
    <mergeCell ref="K397:M397"/>
    <mergeCell ref="P380:T380"/>
    <mergeCell ref="O381:Q381"/>
    <mergeCell ref="R381:T381"/>
    <mergeCell ref="V381:X381"/>
    <mergeCell ref="Y381:AA381"/>
    <mergeCell ref="V390:X390"/>
    <mergeCell ref="Y390:Z390"/>
    <mergeCell ref="AF397:AH397"/>
    <mergeCell ref="I455:M455"/>
    <mergeCell ref="P455:T455"/>
    <mergeCell ref="P439:T439"/>
    <mergeCell ref="W439:AA439"/>
    <mergeCell ref="AC439:AG439"/>
    <mergeCell ref="V450:X450"/>
    <mergeCell ref="Y450:Z450"/>
    <mergeCell ref="P453:S453"/>
    <mergeCell ref="B455:F455"/>
    <mergeCell ref="P393:S393"/>
    <mergeCell ref="P396:T396"/>
    <mergeCell ref="W396:AA396"/>
    <mergeCell ref="AD396:AH396"/>
    <mergeCell ref="O397:Q397"/>
    <mergeCell ref="R397:T397"/>
    <mergeCell ref="V397:X397"/>
    <mergeCell ref="I421:M421"/>
    <mergeCell ref="P421:T421"/>
    <mergeCell ref="AC421:AG421"/>
    <mergeCell ref="Y397:AA397"/>
    <mergeCell ref="AC397:AE397"/>
    <mergeCell ref="A406:E406"/>
    <mergeCell ref="V406:X406"/>
    <mergeCell ref="Y406:Z406"/>
    <mergeCell ref="P419:S419"/>
    <mergeCell ref="W421:AA421"/>
    <mergeCell ref="B421:F421"/>
    <mergeCell ref="A422:C422"/>
    <mergeCell ref="D422:F422"/>
    <mergeCell ref="H422:J422"/>
    <mergeCell ref="K422:M422"/>
    <mergeCell ref="O422:Q422"/>
    <mergeCell ref="R422:T422"/>
    <mergeCell ref="A440:C440"/>
    <mergeCell ref="D440:F440"/>
    <mergeCell ref="H440:J440"/>
    <mergeCell ref="K440:M440"/>
    <mergeCell ref="O440:Q440"/>
    <mergeCell ref="R440:T440"/>
    <mergeCell ref="V440:X440"/>
    <mergeCell ref="Y440:AA440"/>
    <mergeCell ref="V422:X422"/>
    <mergeCell ref="Y422:AA422"/>
    <mergeCell ref="V432:X432"/>
    <mergeCell ref="Y432:Z432"/>
    <mergeCell ref="P437:S437"/>
    <mergeCell ref="B439:F439"/>
    <mergeCell ref="I439:M439"/>
    <mergeCell ref="W455:AA455"/>
    <mergeCell ref="AC455:AG455"/>
    <mergeCell ref="A456:C456"/>
    <mergeCell ref="D456:F456"/>
    <mergeCell ref="H456:J456"/>
    <mergeCell ref="K456:M456"/>
    <mergeCell ref="O456:Q456"/>
    <mergeCell ref="Y456:AA456"/>
    <mergeCell ref="B241:C241"/>
    <mergeCell ref="I241:J241"/>
    <mergeCell ref="P241:Q241"/>
    <mergeCell ref="B242:C242"/>
    <mergeCell ref="P242:Q242"/>
    <mergeCell ref="W242:X242"/>
    <mergeCell ref="W243:X243"/>
    <mergeCell ref="I242:J242"/>
    <mergeCell ref="H244:J244"/>
    <mergeCell ref="K244:L244"/>
    <mergeCell ref="L247:W247"/>
    <mergeCell ref="P249:S249"/>
    <mergeCell ref="B251:F251"/>
    <mergeCell ref="I251:M251"/>
    <mergeCell ref="B259:C259"/>
    <mergeCell ref="I259:J259"/>
    <mergeCell ref="W259:X259"/>
    <mergeCell ref="B260:C260"/>
    <mergeCell ref="W260:X260"/>
    <mergeCell ref="P261:Q261"/>
    <mergeCell ref="P262:Q262"/>
    <mergeCell ref="I260:J260"/>
    <mergeCell ref="H264:J264"/>
    <mergeCell ref="K264:L264"/>
    <mergeCell ref="P266:S266"/>
    <mergeCell ref="B268:F268"/>
    <mergeCell ref="I268:M268"/>
    <mergeCell ref="P268:V268"/>
    <mergeCell ref="Y269:AA269"/>
    <mergeCell ref="AC269:AE269"/>
    <mergeCell ref="W268:AA268"/>
    <mergeCell ref="AD268:AH268"/>
    <mergeCell ref="A269:C269"/>
    <mergeCell ref="D269:F269"/>
    <mergeCell ref="H269:J269"/>
    <mergeCell ref="K269:M269"/>
    <mergeCell ref="O269:Q269"/>
    <mergeCell ref="AF269:AH269"/>
    <mergeCell ref="B216:F216"/>
    <mergeCell ref="A217:C217"/>
    <mergeCell ref="D217:F217"/>
    <mergeCell ref="H217:J217"/>
    <mergeCell ref="K217:M217"/>
    <mergeCell ref="B224:C224"/>
    <mergeCell ref="B225:C225"/>
    <mergeCell ref="P233:T233"/>
    <mergeCell ref="W233:AA233"/>
    <mergeCell ref="AC233:AG233"/>
    <mergeCell ref="A234:C234"/>
    <mergeCell ref="D234:F234"/>
    <mergeCell ref="H234:J234"/>
    <mergeCell ref="K234:M234"/>
    <mergeCell ref="O234:Q234"/>
    <mergeCell ref="R234:T234"/>
    <mergeCell ref="V234:X234"/>
    <mergeCell ref="Y234:AA234"/>
    <mergeCell ref="I224:J224"/>
    <mergeCell ref="I225:J225"/>
    <mergeCell ref="H228:J228"/>
    <mergeCell ref="K228:L228"/>
    <mergeCell ref="P231:S231"/>
    <mergeCell ref="B233:F233"/>
    <mergeCell ref="I233:M233"/>
    <mergeCell ref="P251:T251"/>
    <mergeCell ref="W251:AA251"/>
    <mergeCell ref="AC251:AG251"/>
    <mergeCell ref="A252:C252"/>
    <mergeCell ref="D252:F252"/>
    <mergeCell ref="H252:J252"/>
    <mergeCell ref="K252:M252"/>
    <mergeCell ref="O252:Q252"/>
    <mergeCell ref="R252:T252"/>
    <mergeCell ref="V252:X252"/>
    <mergeCell ref="Y252:AA252"/>
    <mergeCell ref="R269:T269"/>
    <mergeCell ref="V269:X269"/>
    <mergeCell ref="Y271:Z271"/>
    <mergeCell ref="Y272:Z272"/>
    <mergeCell ref="P279:S279"/>
    <mergeCell ref="B281:F281"/>
    <mergeCell ref="I281:O281"/>
    <mergeCell ref="R366:T366"/>
    <mergeCell ref="V366:X366"/>
    <mergeCell ref="P363:S363"/>
    <mergeCell ref="B365:F365"/>
    <mergeCell ref="I365:M365"/>
    <mergeCell ref="P365:T365"/>
    <mergeCell ref="W365:AA365"/>
    <mergeCell ref="AC365:AG365"/>
    <mergeCell ref="A366:C366"/>
    <mergeCell ref="Y366:AA366"/>
    <mergeCell ref="K366:M366"/>
    <mergeCell ref="O366:Q366"/>
    <mergeCell ref="V375:X375"/>
    <mergeCell ref="Y375:Z375"/>
    <mergeCell ref="P378:S378"/>
    <mergeCell ref="W380:AA380"/>
    <mergeCell ref="AC380:AG380"/>
    <mergeCell ref="D366:F366"/>
    <mergeCell ref="H366:J366"/>
    <mergeCell ref="B380:F380"/>
    <mergeCell ref="I380:M380"/>
    <mergeCell ref="A381:C381"/>
    <mergeCell ref="H381:J381"/>
    <mergeCell ref="K381:M381"/>
    <mergeCell ref="P471:T471"/>
    <mergeCell ref="W471:AA471"/>
    <mergeCell ref="AD471:AH471"/>
    <mergeCell ref="R456:T456"/>
    <mergeCell ref="V456:X456"/>
    <mergeCell ref="V466:X466"/>
    <mergeCell ref="Y466:Z466"/>
    <mergeCell ref="P469:S469"/>
    <mergeCell ref="B471:F471"/>
    <mergeCell ref="I471:M471"/>
    <mergeCell ref="Y472:AA472"/>
    <mergeCell ref="AC472:AE472"/>
    <mergeCell ref="AF472:AH472"/>
    <mergeCell ref="A472:C472"/>
    <mergeCell ref="D472:F472"/>
    <mergeCell ref="H472:J472"/>
    <mergeCell ref="K472:M472"/>
    <mergeCell ref="O472:Q472"/>
    <mergeCell ref="R472:T472"/>
    <mergeCell ref="V472:X472"/>
    <mergeCell ref="A498:C498"/>
    <mergeCell ref="D498:F498"/>
    <mergeCell ref="H498:J498"/>
    <mergeCell ref="K498:M498"/>
    <mergeCell ref="O498:Q498"/>
    <mergeCell ref="R498:T498"/>
    <mergeCell ref="V498:X498"/>
    <mergeCell ref="Y498:AA498"/>
    <mergeCell ref="A482:E482"/>
    <mergeCell ref="V482:X482"/>
    <mergeCell ref="Y482:Z482"/>
    <mergeCell ref="P495:S495"/>
    <mergeCell ref="B497:F497"/>
    <mergeCell ref="I497:M497"/>
    <mergeCell ref="P497:T497"/>
    <mergeCell ref="W497:AA497"/>
    <mergeCell ref="AC497:AG497"/>
    <mergeCell ref="V508:X508"/>
    <mergeCell ref="Y508:Z508"/>
    <mergeCell ref="P512:S512"/>
    <mergeCell ref="B514:F514"/>
    <mergeCell ref="I514:M514"/>
    <mergeCell ref="D1210:H1210"/>
    <mergeCell ref="V1210:X1210"/>
    <mergeCell ref="Y1210:Z1210"/>
    <mergeCell ref="P1220:S1220"/>
    <mergeCell ref="B1222:F1222"/>
    <mergeCell ref="I1222:M1222"/>
    <mergeCell ref="P1222:T1222"/>
    <mergeCell ref="A1223:C1223"/>
    <mergeCell ref="D1223:F1223"/>
    <mergeCell ref="H1223:J1223"/>
    <mergeCell ref="K1223:M1223"/>
    <mergeCell ref="O1223:Q1223"/>
    <mergeCell ref="R1223:T1223"/>
    <mergeCell ref="V1223:X1223"/>
    <mergeCell ref="W1241:AA1241"/>
    <mergeCell ref="AD1241:AH1241"/>
    <mergeCell ref="Y1223:AA1223"/>
    <mergeCell ref="Y1232:Z1232"/>
    <mergeCell ref="L1236:W1236"/>
    <mergeCell ref="P1239:S1239"/>
    <mergeCell ref="B1241:F1241"/>
    <mergeCell ref="I1241:M1241"/>
    <mergeCell ref="P1241:T1241"/>
    <mergeCell ref="Y1242:AA1242"/>
    <mergeCell ref="AC1242:AE1242"/>
    <mergeCell ref="AF1242:AH1242"/>
    <mergeCell ref="A1242:C1242"/>
    <mergeCell ref="D1242:F1242"/>
    <mergeCell ref="H1242:J1242"/>
    <mergeCell ref="K1242:M1242"/>
    <mergeCell ref="O1242:Q1242"/>
    <mergeCell ref="R1242:T1242"/>
    <mergeCell ref="V1242:X1242"/>
    <mergeCell ref="W1266:AA1266"/>
    <mergeCell ref="AC1266:AG1266"/>
    <mergeCell ref="D1252:H1252"/>
    <mergeCell ref="V1252:X1252"/>
    <mergeCell ref="Y1252:Z1252"/>
    <mergeCell ref="P1264:S1264"/>
    <mergeCell ref="B1266:F1266"/>
    <mergeCell ref="I1266:M1266"/>
    <mergeCell ref="P1266:T1266"/>
    <mergeCell ref="A1267:C1267"/>
    <mergeCell ref="D1267:F1267"/>
    <mergeCell ref="H1267:J1267"/>
    <mergeCell ref="K1267:M1267"/>
    <mergeCell ref="O1267:Q1267"/>
    <mergeCell ref="R1267:T1267"/>
    <mergeCell ref="V1267:X1267"/>
    <mergeCell ref="Y1267:AA1267"/>
    <mergeCell ref="Y1276:Z1276"/>
    <mergeCell ref="P1281:S1281"/>
    <mergeCell ref="I1283:M1283"/>
    <mergeCell ref="P1283:T1283"/>
    <mergeCell ref="W1283:AA1283"/>
    <mergeCell ref="AC1283:AG1283"/>
    <mergeCell ref="B1283:F1283"/>
    <mergeCell ref="A1284:C1284"/>
    <mergeCell ref="D1284:F1284"/>
    <mergeCell ref="H1284:J1284"/>
    <mergeCell ref="K1284:M1284"/>
    <mergeCell ref="O1284:Q1284"/>
    <mergeCell ref="R1284:T1284"/>
    <mergeCell ref="W1299:AA1299"/>
    <mergeCell ref="AD1299:AH1299"/>
    <mergeCell ref="V1284:X1284"/>
    <mergeCell ref="Y1284:AA1284"/>
    <mergeCell ref="Y1293:Z1293"/>
    <mergeCell ref="P1297:S1297"/>
    <mergeCell ref="B1299:F1299"/>
    <mergeCell ref="I1299:M1299"/>
    <mergeCell ref="P1299:T1299"/>
    <mergeCell ref="W1323:AA1323"/>
    <mergeCell ref="AC1323:AG1323"/>
    <mergeCell ref="Y1354:AA1354"/>
    <mergeCell ref="AC1354:AE1354"/>
    <mergeCell ref="AF1354:AH1354"/>
    <mergeCell ref="A1354:C1354"/>
    <mergeCell ref="D1354:F1354"/>
    <mergeCell ref="H1354:J1354"/>
    <mergeCell ref="K1354:M1354"/>
    <mergeCell ref="O1354:Q1354"/>
    <mergeCell ref="R1354:T1354"/>
    <mergeCell ref="V1354:X1354"/>
    <mergeCell ref="D1310:H1310"/>
    <mergeCell ref="V1310:X1310"/>
    <mergeCell ref="Y1310:Z1310"/>
    <mergeCell ref="P1321:S1321"/>
    <mergeCell ref="B1323:F1323"/>
    <mergeCell ref="I1323:M1323"/>
    <mergeCell ref="P1323:T1323"/>
    <mergeCell ref="A1324:C1324"/>
    <mergeCell ref="D1324:F1324"/>
    <mergeCell ref="H1324:J1324"/>
    <mergeCell ref="K1324:M1324"/>
    <mergeCell ref="O1324:Q1324"/>
    <mergeCell ref="R1324:T1324"/>
    <mergeCell ref="V1324:X1324"/>
    <mergeCell ref="Y1324:AA1324"/>
    <mergeCell ref="Y1333:Z1333"/>
    <mergeCell ref="P1336:S1336"/>
    <mergeCell ref="I1338:M1338"/>
    <mergeCell ref="P1338:T1338"/>
    <mergeCell ref="W1338:AA1338"/>
    <mergeCell ref="AC1338:AG1338"/>
    <mergeCell ref="B1338:F1338"/>
    <mergeCell ref="A1339:C1339"/>
    <mergeCell ref="D1339:F1339"/>
    <mergeCell ref="H1339:J1339"/>
    <mergeCell ref="K1339:M1339"/>
    <mergeCell ref="O1339:Q1339"/>
    <mergeCell ref="R1339:T1339"/>
    <mergeCell ref="W1353:AA1353"/>
    <mergeCell ref="AD1353:AH1353"/>
    <mergeCell ref="V1339:X1339"/>
    <mergeCell ref="Y1339:AA1339"/>
    <mergeCell ref="Y1348:Z1348"/>
    <mergeCell ref="P1351:S1351"/>
    <mergeCell ref="B1353:F1353"/>
    <mergeCell ref="I1353:M1353"/>
    <mergeCell ref="P1353:T1353"/>
    <mergeCell ref="D1364:H1364"/>
    <mergeCell ref="V1364:X1364"/>
    <mergeCell ref="Y1364:Z1364"/>
    <mergeCell ref="W1099:AA1099"/>
    <mergeCell ref="AC1099:AG1099"/>
    <mergeCell ref="Y1109:Z1109"/>
    <mergeCell ref="P1112:S1112"/>
    <mergeCell ref="B1114:F1114"/>
    <mergeCell ref="I1114:M1114"/>
    <mergeCell ref="P1114:T1114"/>
    <mergeCell ref="W1114:AA1114"/>
    <mergeCell ref="AC1114:AG1114"/>
    <mergeCell ref="Y1124:Z1124"/>
    <mergeCell ref="P1127:S1127"/>
    <mergeCell ref="B1129:F1129"/>
    <mergeCell ref="I1129:M1129"/>
    <mergeCell ref="P1129:T1129"/>
    <mergeCell ref="A1130:C1130"/>
    <mergeCell ref="D1130:F1130"/>
    <mergeCell ref="H1130:J1130"/>
    <mergeCell ref="K1130:M1130"/>
    <mergeCell ref="O1130:Q1130"/>
    <mergeCell ref="R1130:T1130"/>
    <mergeCell ref="V1130:X1130"/>
    <mergeCell ref="Y1130:AA1130"/>
    <mergeCell ref="W1129:AA1129"/>
    <mergeCell ref="AC1129:AG1129"/>
    <mergeCell ref="Y1139:Z1139"/>
    <mergeCell ref="P1142:S1142"/>
    <mergeCell ref="B1144:F1144"/>
    <mergeCell ref="I1144:M1144"/>
    <mergeCell ref="P1144:T1144"/>
    <mergeCell ref="Y1145:AA1145"/>
    <mergeCell ref="AC1145:AE1145"/>
    <mergeCell ref="AF1145:AH1145"/>
    <mergeCell ref="A1145:C1145"/>
    <mergeCell ref="D1145:F1145"/>
    <mergeCell ref="H1145:J1145"/>
    <mergeCell ref="K1145:M1145"/>
    <mergeCell ref="O1145:Q1145"/>
    <mergeCell ref="R1145:T1145"/>
    <mergeCell ref="V1145:X1145"/>
    <mergeCell ref="A1085:C1085"/>
    <mergeCell ref="D1085:F1085"/>
    <mergeCell ref="H1085:J1085"/>
    <mergeCell ref="K1085:M1085"/>
    <mergeCell ref="O1085:Q1085"/>
    <mergeCell ref="R1085:T1085"/>
    <mergeCell ref="V1085:X1085"/>
    <mergeCell ref="Y1085:AA1085"/>
    <mergeCell ref="W1069:AA1069"/>
    <mergeCell ref="AC1069:AG1069"/>
    <mergeCell ref="Y1079:Z1079"/>
    <mergeCell ref="P1082:S1082"/>
    <mergeCell ref="B1084:F1084"/>
    <mergeCell ref="I1084:M1084"/>
    <mergeCell ref="P1084:T1084"/>
    <mergeCell ref="A1100:C1100"/>
    <mergeCell ref="D1100:F1100"/>
    <mergeCell ref="H1100:J1100"/>
    <mergeCell ref="K1100:M1100"/>
    <mergeCell ref="O1100:Q1100"/>
    <mergeCell ref="R1100:T1100"/>
    <mergeCell ref="V1100:X1100"/>
    <mergeCell ref="Y1100:AA1100"/>
    <mergeCell ref="W1084:AA1084"/>
    <mergeCell ref="AC1084:AG1084"/>
    <mergeCell ref="Y1094:Z1094"/>
    <mergeCell ref="P1097:S1097"/>
    <mergeCell ref="B1099:F1099"/>
    <mergeCell ref="I1099:M1099"/>
    <mergeCell ref="P1099:T1099"/>
    <mergeCell ref="A1115:C1115"/>
    <mergeCell ref="D1115:F1115"/>
    <mergeCell ref="H1115:J1115"/>
    <mergeCell ref="K1115:M1115"/>
    <mergeCell ref="O1115:Q1115"/>
    <mergeCell ref="R1115:T1115"/>
    <mergeCell ref="V1115:X1115"/>
    <mergeCell ref="Y1115:AA1115"/>
    <mergeCell ref="W1144:AA1144"/>
    <mergeCell ref="AD1144:AH1144"/>
    <mergeCell ref="W1169:AA1169"/>
    <mergeCell ref="AC1169:AG1169"/>
    <mergeCell ref="Y1200:AA1200"/>
    <mergeCell ref="AC1200:AE1200"/>
    <mergeCell ref="AF1200:AH1200"/>
    <mergeCell ref="A1200:C1200"/>
    <mergeCell ref="D1200:F1200"/>
    <mergeCell ref="H1200:J1200"/>
    <mergeCell ref="K1200:M1200"/>
    <mergeCell ref="O1200:Q1200"/>
    <mergeCell ref="R1200:T1200"/>
    <mergeCell ref="V1200:X1200"/>
    <mergeCell ref="D1155:H1155"/>
    <mergeCell ref="V1155:X1155"/>
    <mergeCell ref="Y1155:Z1155"/>
    <mergeCell ref="P1167:S1167"/>
    <mergeCell ref="B1169:F1169"/>
    <mergeCell ref="I1169:M1169"/>
    <mergeCell ref="P1169:T1169"/>
    <mergeCell ref="A1170:C1170"/>
    <mergeCell ref="D1170:F1170"/>
    <mergeCell ref="H1170:J1170"/>
    <mergeCell ref="K1170:M1170"/>
    <mergeCell ref="O1170:Q1170"/>
    <mergeCell ref="R1170:T1170"/>
    <mergeCell ref="V1170:X1170"/>
    <mergeCell ref="Y1170:AA1170"/>
    <mergeCell ref="Y1179:Z1179"/>
    <mergeCell ref="P1182:S1182"/>
    <mergeCell ref="I1184:M1184"/>
    <mergeCell ref="P1184:T1184"/>
    <mergeCell ref="W1184:AA1184"/>
    <mergeCell ref="AC1184:AG1184"/>
    <mergeCell ref="B1184:F1184"/>
    <mergeCell ref="A1185:C1185"/>
    <mergeCell ref="D1185:F1185"/>
    <mergeCell ref="H1185:J1185"/>
    <mergeCell ref="K1185:M1185"/>
    <mergeCell ref="O1185:Q1185"/>
    <mergeCell ref="R1185:T1185"/>
    <mergeCell ref="W1199:AA1199"/>
    <mergeCell ref="AD1199:AH1199"/>
    <mergeCell ref="V1185:X1185"/>
    <mergeCell ref="Y1185:AA1185"/>
    <mergeCell ref="Y1194:Z1194"/>
    <mergeCell ref="P1197:S1197"/>
    <mergeCell ref="B1199:F1199"/>
    <mergeCell ref="I1199:M1199"/>
    <mergeCell ref="P1199:T1199"/>
    <mergeCell ref="W1222:AA1222"/>
    <mergeCell ref="AC1222:AG1222"/>
    <mergeCell ref="Y1300:AA1300"/>
    <mergeCell ref="AC1300:AE1300"/>
    <mergeCell ref="AF1300:AH1300"/>
    <mergeCell ref="A1300:C1300"/>
    <mergeCell ref="D1300:F1300"/>
    <mergeCell ref="H1300:J1300"/>
    <mergeCell ref="K1300:M1300"/>
    <mergeCell ref="O1300:Q1300"/>
    <mergeCell ref="R1300:T1300"/>
    <mergeCell ref="V1300:X1300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53" width="2.86"/>
    <col customWidth="1" min="54" max="58" width="4.0"/>
  </cols>
  <sheetData>
    <row r="1" ht="14.25" customHeight="1">
      <c r="A1" s="229"/>
      <c r="B1" s="229"/>
      <c r="C1" s="229"/>
      <c r="D1" s="229"/>
      <c r="E1" s="229"/>
      <c r="F1" s="229"/>
      <c r="H1" s="230" t="s">
        <v>395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F1" s="231" t="s">
        <v>396</v>
      </c>
      <c r="AG1" s="2"/>
      <c r="AH1" s="2"/>
      <c r="AI1" s="2"/>
      <c r="AJ1" s="2"/>
      <c r="AK1" s="2"/>
      <c r="AL1" s="2"/>
      <c r="AM1" s="2"/>
      <c r="AN1" s="3"/>
    </row>
    <row r="2" ht="14.25" customHeight="1"/>
    <row r="3" ht="14.25" customHeight="1">
      <c r="B3" s="232" t="s">
        <v>397</v>
      </c>
      <c r="C3" s="2"/>
      <c r="D3" s="2"/>
      <c r="E3" s="2"/>
      <c r="F3" s="3"/>
      <c r="G3" s="232" t="s">
        <v>398</v>
      </c>
      <c r="H3" s="2"/>
      <c r="I3" s="2"/>
      <c r="J3" s="3"/>
      <c r="K3" s="232" t="s">
        <v>399</v>
      </c>
      <c r="L3" s="2"/>
      <c r="M3" s="2"/>
      <c r="N3" s="3"/>
      <c r="O3" s="232" t="s">
        <v>400</v>
      </c>
      <c r="P3" s="2"/>
      <c r="Q3" s="2"/>
      <c r="R3" s="2"/>
      <c r="S3" s="3"/>
      <c r="T3" s="232" t="s">
        <v>401</v>
      </c>
      <c r="U3" s="2"/>
      <c r="V3" s="2"/>
      <c r="W3" s="3"/>
      <c r="X3" s="232" t="s">
        <v>402</v>
      </c>
      <c r="Y3" s="2"/>
      <c r="Z3" s="2"/>
      <c r="AA3" s="3"/>
      <c r="AB3" s="232" t="s">
        <v>403</v>
      </c>
      <c r="AC3" s="2"/>
      <c r="AD3" s="2"/>
      <c r="AE3" s="2"/>
      <c r="AF3" s="3"/>
      <c r="AG3" s="232" t="s">
        <v>404</v>
      </c>
      <c r="AH3" s="2"/>
      <c r="AI3" s="2"/>
      <c r="AJ3" s="3"/>
      <c r="AK3" s="232" t="s">
        <v>405</v>
      </c>
      <c r="AL3" s="2"/>
      <c r="AM3" s="2"/>
      <c r="AN3" s="3"/>
      <c r="AO3" s="232" t="s">
        <v>406</v>
      </c>
      <c r="AP3" s="2"/>
      <c r="AQ3" s="2"/>
      <c r="AR3" s="2"/>
      <c r="AS3" s="3"/>
      <c r="AT3" s="232" t="s">
        <v>407</v>
      </c>
      <c r="AU3" s="2"/>
      <c r="AV3" s="2"/>
      <c r="AW3" s="3"/>
      <c r="AX3" s="232" t="s">
        <v>408</v>
      </c>
      <c r="AY3" s="2"/>
      <c r="AZ3" s="2"/>
      <c r="BA3" s="3"/>
    </row>
    <row r="4" ht="14.25" customHeight="1">
      <c r="A4" s="233" t="s">
        <v>409</v>
      </c>
      <c r="B4" s="234">
        <v>45902.0</v>
      </c>
      <c r="C4" s="235">
        <v>45909.0</v>
      </c>
      <c r="D4" s="235">
        <v>45916.0</v>
      </c>
      <c r="E4" s="235">
        <v>45923.0</v>
      </c>
      <c r="F4" s="236">
        <v>45930.0</v>
      </c>
      <c r="G4" s="234">
        <v>45937.0</v>
      </c>
      <c r="H4" s="235">
        <v>45944.0</v>
      </c>
      <c r="I4" s="235">
        <v>2121.0</v>
      </c>
      <c r="J4" s="236">
        <v>45958.0</v>
      </c>
      <c r="K4" s="234">
        <v>45965.0</v>
      </c>
      <c r="L4" s="235">
        <v>45972.0</v>
      </c>
      <c r="M4" s="235">
        <v>45979.0</v>
      </c>
      <c r="N4" s="236">
        <v>45986.0</v>
      </c>
      <c r="O4" s="234">
        <v>45993.0</v>
      </c>
      <c r="P4" s="235">
        <v>46000.0</v>
      </c>
      <c r="Q4" s="235">
        <v>46007.0</v>
      </c>
      <c r="R4" s="235" t="s">
        <v>410</v>
      </c>
      <c r="S4" s="236">
        <v>46021.0</v>
      </c>
      <c r="T4" s="234">
        <v>46030.0</v>
      </c>
      <c r="U4" s="235">
        <v>46036.0</v>
      </c>
      <c r="V4" s="235">
        <v>46042.0</v>
      </c>
      <c r="W4" s="236">
        <v>46049.0</v>
      </c>
      <c r="X4" s="234">
        <v>46057.0</v>
      </c>
      <c r="Y4" s="235">
        <v>46063.0</v>
      </c>
      <c r="Z4" s="235">
        <v>46070.0</v>
      </c>
      <c r="AA4" s="236">
        <v>46077.0</v>
      </c>
      <c r="AB4" s="234"/>
      <c r="AC4" s="235"/>
      <c r="AD4" s="235"/>
      <c r="AE4" s="235"/>
      <c r="AF4" s="236"/>
      <c r="AG4" s="234"/>
      <c r="AH4" s="235"/>
      <c r="AI4" s="235"/>
      <c r="AJ4" s="236"/>
      <c r="AK4" s="234"/>
      <c r="AL4" s="235"/>
      <c r="AM4" s="235"/>
      <c r="AN4" s="236"/>
      <c r="AO4" s="234"/>
      <c r="AP4" s="235"/>
      <c r="AQ4" s="235"/>
      <c r="AR4" s="235"/>
      <c r="AS4" s="236"/>
      <c r="AT4" s="234"/>
      <c r="AU4" s="235"/>
      <c r="AV4" s="235"/>
      <c r="AW4" s="236"/>
      <c r="AX4" s="234"/>
      <c r="AY4" s="235"/>
      <c r="AZ4" s="235"/>
      <c r="BA4" s="236"/>
      <c r="BB4" s="237" t="s">
        <v>411</v>
      </c>
      <c r="BC4" s="2"/>
      <c r="BD4" s="2"/>
      <c r="BE4" s="3"/>
    </row>
    <row r="5" ht="14.25" customHeight="1">
      <c r="A5" s="238" t="s">
        <v>412</v>
      </c>
      <c r="B5" s="34">
        <v>1.0</v>
      </c>
      <c r="C5" s="34">
        <v>2.0</v>
      </c>
      <c r="D5" s="34">
        <v>3.0</v>
      </c>
      <c r="E5" s="34">
        <v>4.0</v>
      </c>
      <c r="F5" s="34">
        <v>5.0</v>
      </c>
      <c r="G5" s="34">
        <v>6.0</v>
      </c>
      <c r="H5" s="34">
        <v>7.0</v>
      </c>
      <c r="I5" s="34">
        <v>8.0</v>
      </c>
      <c r="J5" s="34">
        <v>9.0</v>
      </c>
      <c r="K5" s="34">
        <v>10.0</v>
      </c>
      <c r="L5" s="34">
        <v>11.0</v>
      </c>
      <c r="M5" s="34">
        <v>12.0</v>
      </c>
      <c r="N5" s="34">
        <v>13.0</v>
      </c>
      <c r="O5" s="34">
        <v>14.0</v>
      </c>
      <c r="P5" s="34">
        <v>15.0</v>
      </c>
      <c r="Q5" s="34">
        <v>16.0</v>
      </c>
      <c r="R5" s="34"/>
      <c r="S5" s="34">
        <v>17.0</v>
      </c>
      <c r="T5" s="34">
        <v>18.0</v>
      </c>
      <c r="U5" s="34">
        <v>19.0</v>
      </c>
      <c r="V5" s="34">
        <v>20.0</v>
      </c>
      <c r="W5" s="34">
        <v>21.0</v>
      </c>
      <c r="X5" s="34">
        <v>22.0</v>
      </c>
      <c r="Y5" s="34">
        <v>23.0</v>
      </c>
      <c r="Z5" s="34">
        <v>24.0</v>
      </c>
      <c r="AA5" s="34">
        <v>25.0</v>
      </c>
      <c r="AB5" s="34">
        <v>26.0</v>
      </c>
      <c r="AC5" s="34">
        <v>27.0</v>
      </c>
      <c r="AD5" s="34">
        <v>28.0</v>
      </c>
      <c r="AE5" s="34">
        <v>29.0</v>
      </c>
      <c r="AF5" s="34">
        <v>30.0</v>
      </c>
      <c r="AG5" s="34">
        <v>31.0</v>
      </c>
      <c r="AH5" s="34">
        <v>32.0</v>
      </c>
      <c r="AI5" s="34">
        <v>33.0</v>
      </c>
      <c r="AJ5" s="34">
        <v>34.0</v>
      </c>
      <c r="AK5" s="34">
        <v>35.0</v>
      </c>
      <c r="AL5" s="34">
        <v>36.0</v>
      </c>
      <c r="AM5" s="34">
        <v>37.0</v>
      </c>
      <c r="AN5" s="34">
        <v>38.0</v>
      </c>
      <c r="AO5" s="34">
        <v>39.0</v>
      </c>
      <c r="AP5" s="34">
        <v>40.0</v>
      </c>
      <c r="AQ5" s="34">
        <v>41.0</v>
      </c>
      <c r="AR5" s="34">
        <v>42.0</v>
      </c>
      <c r="AS5" s="34">
        <v>43.0</v>
      </c>
      <c r="AT5" s="34">
        <v>44.0</v>
      </c>
      <c r="AU5" s="34">
        <v>45.0</v>
      </c>
      <c r="AV5" s="34">
        <v>46.0</v>
      </c>
      <c r="AW5" s="34">
        <v>47.0</v>
      </c>
      <c r="AX5" s="34">
        <v>48.0</v>
      </c>
      <c r="AY5" s="34">
        <v>49.0</v>
      </c>
      <c r="AZ5" s="34">
        <v>50.0</v>
      </c>
      <c r="BA5" s="34">
        <v>51.0</v>
      </c>
      <c r="BB5" s="239" t="s">
        <v>413</v>
      </c>
      <c r="BC5" s="240" t="s">
        <v>414</v>
      </c>
      <c r="BD5" s="241" t="s">
        <v>415</v>
      </c>
      <c r="BE5" s="34" t="s">
        <v>416</v>
      </c>
    </row>
    <row r="6" ht="15.0" customHeight="1">
      <c r="A6" s="22" t="s">
        <v>5</v>
      </c>
      <c r="B6" s="242"/>
      <c r="C6" s="243"/>
      <c r="D6" s="244"/>
      <c r="E6" s="243"/>
      <c r="F6" s="242"/>
      <c r="G6" s="243"/>
      <c r="H6" s="243"/>
      <c r="I6" s="243"/>
      <c r="J6" s="243"/>
      <c r="K6" s="243"/>
      <c r="L6" s="243"/>
      <c r="M6" s="243"/>
      <c r="N6" s="243"/>
      <c r="O6" s="88"/>
      <c r="P6" s="245"/>
      <c r="Q6" s="244"/>
      <c r="R6" s="88"/>
      <c r="S6" s="245"/>
      <c r="T6" s="245"/>
      <c r="U6" s="244"/>
      <c r="V6" s="243"/>
      <c r="W6" s="244"/>
      <c r="X6" s="245"/>
      <c r="Y6" s="245"/>
      <c r="Z6" s="243"/>
      <c r="AA6" s="243"/>
      <c r="AB6" s="88"/>
      <c r="AC6" s="88"/>
      <c r="AD6" s="88"/>
      <c r="AE6" s="88"/>
      <c r="AF6" s="88"/>
      <c r="AG6" s="88"/>
      <c r="AH6" s="246"/>
      <c r="AI6" s="88"/>
      <c r="AJ6" s="88"/>
      <c r="AK6" s="88"/>
      <c r="AL6" s="246"/>
      <c r="AM6" s="88"/>
      <c r="AN6" s="88"/>
      <c r="AO6" s="246"/>
      <c r="AP6" s="246"/>
      <c r="AQ6" s="246"/>
      <c r="AR6" s="246"/>
      <c r="AS6" s="88"/>
      <c r="AT6" s="88"/>
      <c r="AU6" s="88"/>
      <c r="AV6" s="88"/>
      <c r="AW6" s="88"/>
      <c r="AX6" s="88"/>
      <c r="AY6" s="246"/>
      <c r="AZ6" s="246"/>
      <c r="BA6" s="246"/>
      <c r="BB6" s="247">
        <v>13.0</v>
      </c>
      <c r="BC6" s="248">
        <v>4.0</v>
      </c>
      <c r="BD6" s="249">
        <v>7.0</v>
      </c>
      <c r="BE6" s="167">
        <f t="shared" ref="BE6:BE28" si="1">BB6+BC6+BD6</f>
        <v>24</v>
      </c>
    </row>
    <row r="7" ht="15.0" customHeight="1">
      <c r="A7" s="22" t="s">
        <v>120</v>
      </c>
      <c r="B7" s="242"/>
      <c r="C7" s="243"/>
      <c r="D7" s="244"/>
      <c r="E7" s="243"/>
      <c r="F7" s="243"/>
      <c r="G7" s="246"/>
      <c r="H7" s="243"/>
      <c r="I7" s="242"/>
      <c r="J7" s="242"/>
      <c r="K7" s="243"/>
      <c r="L7" s="243"/>
      <c r="M7" s="243"/>
      <c r="N7" s="243"/>
      <c r="O7" s="243"/>
      <c r="P7" s="243"/>
      <c r="Q7" s="244"/>
      <c r="R7" s="88"/>
      <c r="S7" s="245"/>
      <c r="T7" s="245"/>
      <c r="U7" s="244"/>
      <c r="V7" s="243"/>
      <c r="W7" s="244"/>
      <c r="X7" s="245"/>
      <c r="Y7" s="243"/>
      <c r="Z7" s="243"/>
      <c r="AA7" s="245"/>
      <c r="AB7" s="88"/>
      <c r="AC7" s="246"/>
      <c r="AD7" s="246"/>
      <c r="AE7" s="88"/>
      <c r="AF7" s="246"/>
      <c r="AG7" s="88"/>
      <c r="AH7" s="88"/>
      <c r="AI7" s="88"/>
      <c r="AJ7" s="88"/>
      <c r="AK7" s="246"/>
      <c r="AL7" s="246"/>
      <c r="AM7" s="88"/>
      <c r="AN7" s="88"/>
      <c r="AO7" s="246"/>
      <c r="AP7" s="88"/>
      <c r="AQ7" s="88"/>
      <c r="AR7" s="88"/>
      <c r="AS7" s="88"/>
      <c r="AT7" s="88"/>
      <c r="AU7" s="88"/>
      <c r="AV7" s="88"/>
      <c r="AW7" s="246"/>
      <c r="AX7" s="88"/>
      <c r="AY7" s="246"/>
      <c r="AZ7" s="246"/>
      <c r="BA7" s="246"/>
      <c r="BB7" s="247">
        <v>13.0</v>
      </c>
      <c r="BC7" s="248">
        <v>4.0</v>
      </c>
      <c r="BD7" s="249">
        <v>7.0</v>
      </c>
      <c r="BE7" s="167">
        <f t="shared" si="1"/>
        <v>24</v>
      </c>
    </row>
    <row r="8" ht="15.0" customHeight="1">
      <c r="A8" s="22" t="s">
        <v>18</v>
      </c>
      <c r="B8" s="250"/>
      <c r="C8" s="242"/>
      <c r="D8" s="88"/>
      <c r="E8" s="88"/>
      <c r="F8" s="242"/>
      <c r="G8" s="242"/>
      <c r="H8" s="243"/>
      <c r="I8" s="88"/>
      <c r="J8" s="242"/>
      <c r="K8" s="243"/>
      <c r="L8" s="242"/>
      <c r="M8" s="242"/>
      <c r="N8" s="242"/>
      <c r="O8" s="242"/>
      <c r="P8" s="245"/>
      <c r="Q8" s="244"/>
      <c r="R8" s="88"/>
      <c r="S8" s="88"/>
      <c r="T8" s="88"/>
      <c r="U8" s="244"/>
      <c r="V8" s="245"/>
      <c r="W8" s="244"/>
      <c r="X8" s="243"/>
      <c r="Y8" s="245"/>
      <c r="Z8" s="245"/>
      <c r="AA8" s="245"/>
      <c r="AB8" s="246"/>
      <c r="AC8" s="88"/>
      <c r="AD8" s="88"/>
      <c r="AE8" s="88"/>
      <c r="AF8" s="88"/>
      <c r="AG8" s="88"/>
      <c r="AH8" s="246"/>
      <c r="AI8" s="246"/>
      <c r="AJ8" s="246"/>
      <c r="AK8" s="88"/>
      <c r="AL8" s="88"/>
      <c r="AM8" s="88"/>
      <c r="AN8" s="88"/>
      <c r="AO8" s="88"/>
      <c r="AP8" s="246"/>
      <c r="AQ8" s="88"/>
      <c r="AR8" s="88"/>
      <c r="AS8" s="88"/>
      <c r="AT8" s="246"/>
      <c r="AU8" s="246"/>
      <c r="AV8" s="88"/>
      <c r="AW8" s="88"/>
      <c r="AX8" s="246"/>
      <c r="AY8" s="88"/>
      <c r="AZ8" s="88"/>
      <c r="BA8" s="88"/>
      <c r="BB8" s="247">
        <v>4.0</v>
      </c>
      <c r="BC8" s="248">
        <v>3.0</v>
      </c>
      <c r="BD8" s="249">
        <v>13.0</v>
      </c>
      <c r="BE8" s="167">
        <f t="shared" si="1"/>
        <v>20</v>
      </c>
    </row>
    <row r="9" ht="15.0" customHeight="1">
      <c r="A9" s="22" t="s">
        <v>7</v>
      </c>
      <c r="B9" s="242"/>
      <c r="C9" s="246"/>
      <c r="D9" s="244"/>
      <c r="E9" s="242"/>
      <c r="F9" s="242"/>
      <c r="G9" s="242"/>
      <c r="H9" s="88"/>
      <c r="I9" s="243"/>
      <c r="J9" s="243"/>
      <c r="K9" s="242"/>
      <c r="L9" s="243"/>
      <c r="M9" s="243"/>
      <c r="N9" s="243"/>
      <c r="O9" s="243"/>
      <c r="P9" s="243"/>
      <c r="Q9" s="244"/>
      <c r="R9" s="88"/>
      <c r="S9" s="245"/>
      <c r="T9" s="88"/>
      <c r="U9" s="88"/>
      <c r="V9" s="88"/>
      <c r="W9" s="246"/>
      <c r="X9" s="245"/>
      <c r="Y9" s="243"/>
      <c r="Z9" s="243"/>
      <c r="AA9" s="243"/>
      <c r="AB9" s="88"/>
      <c r="AC9" s="246"/>
      <c r="AD9" s="246"/>
      <c r="AE9" s="88"/>
      <c r="AF9" s="246"/>
      <c r="AG9" s="246"/>
      <c r="AH9" s="88"/>
      <c r="AI9" s="88"/>
      <c r="AJ9" s="246"/>
      <c r="AK9" s="88"/>
      <c r="AL9" s="246"/>
      <c r="AM9" s="88"/>
      <c r="AN9" s="88"/>
      <c r="AO9" s="246"/>
      <c r="AP9" s="88"/>
      <c r="AQ9" s="246"/>
      <c r="AR9" s="88"/>
      <c r="AS9" s="88"/>
      <c r="AT9" s="88"/>
      <c r="AU9" s="88"/>
      <c r="AV9" s="246"/>
      <c r="AW9" s="88"/>
      <c r="AX9" s="88"/>
      <c r="AY9" s="88"/>
      <c r="AZ9" s="88"/>
      <c r="BA9" s="246"/>
      <c r="BB9" s="247">
        <v>10.0</v>
      </c>
      <c r="BC9" s="248">
        <v>2.0</v>
      </c>
      <c r="BD9" s="249">
        <v>7.0</v>
      </c>
      <c r="BE9" s="167">
        <f t="shared" si="1"/>
        <v>19</v>
      </c>
    </row>
    <row r="10" ht="15.0" customHeight="1">
      <c r="A10" s="22" t="s">
        <v>17</v>
      </c>
      <c r="B10" s="242"/>
      <c r="C10" s="243"/>
      <c r="D10" s="244"/>
      <c r="E10" s="243"/>
      <c r="F10" s="88"/>
      <c r="G10" s="243"/>
      <c r="H10" s="243"/>
      <c r="I10" s="243"/>
      <c r="J10" s="88"/>
      <c r="K10" s="243"/>
      <c r="L10" s="243"/>
      <c r="M10" s="243"/>
      <c r="N10" s="242"/>
      <c r="O10" s="243"/>
      <c r="P10" s="243"/>
      <c r="Q10" s="244"/>
      <c r="R10" s="246"/>
      <c r="S10" s="245"/>
      <c r="T10" s="88"/>
      <c r="U10" s="244"/>
      <c r="V10" s="243"/>
      <c r="W10" s="244"/>
      <c r="X10" s="245"/>
      <c r="Y10" s="245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246"/>
      <c r="AR10" s="88"/>
      <c r="AS10" s="246"/>
      <c r="AT10" s="88"/>
      <c r="AU10" s="88"/>
      <c r="AV10" s="88"/>
      <c r="AW10" s="88"/>
      <c r="AX10" s="88"/>
      <c r="AY10" s="88"/>
      <c r="AZ10" s="88"/>
      <c r="BA10" s="88"/>
      <c r="BB10" s="247">
        <v>11.0</v>
      </c>
      <c r="BC10" s="248">
        <v>4.0</v>
      </c>
      <c r="BD10" s="249">
        <v>5.0</v>
      </c>
      <c r="BE10" s="167">
        <f t="shared" si="1"/>
        <v>20</v>
      </c>
    </row>
    <row r="11" ht="15.0" customHeight="1">
      <c r="A11" s="22" t="s">
        <v>20</v>
      </c>
      <c r="B11" s="250"/>
      <c r="C11" s="243"/>
      <c r="D11" s="244"/>
      <c r="E11" s="246"/>
      <c r="F11" s="246"/>
      <c r="G11" s="88"/>
      <c r="H11" s="246"/>
      <c r="I11" s="88"/>
      <c r="J11" s="246"/>
      <c r="K11" s="242"/>
      <c r="L11" s="88"/>
      <c r="M11" s="88"/>
      <c r="N11" s="88"/>
      <c r="O11" s="242"/>
      <c r="P11" s="243"/>
      <c r="Q11" s="244"/>
      <c r="R11" s="246"/>
      <c r="S11" s="245"/>
      <c r="T11" s="243"/>
      <c r="U11" s="244"/>
      <c r="V11" s="243"/>
      <c r="W11" s="88"/>
      <c r="X11" s="243"/>
      <c r="Y11" s="245"/>
      <c r="Z11" s="243"/>
      <c r="AA11" s="243"/>
      <c r="AB11" s="88"/>
      <c r="AC11" s="246"/>
      <c r="AD11" s="88"/>
      <c r="AE11" s="88"/>
      <c r="AF11" s="88"/>
      <c r="AG11" s="88"/>
      <c r="AH11" s="246"/>
      <c r="AI11" s="88"/>
      <c r="AJ11" s="88"/>
      <c r="AK11" s="88"/>
      <c r="AL11" s="88"/>
      <c r="AM11" s="88"/>
      <c r="AN11" s="88"/>
      <c r="AO11" s="88"/>
      <c r="AP11" s="246"/>
      <c r="AQ11" s="88"/>
      <c r="AR11" s="88"/>
      <c r="AS11" s="88"/>
      <c r="AT11" s="88"/>
      <c r="AU11" s="88"/>
      <c r="AV11" s="88"/>
      <c r="AW11" s="246"/>
      <c r="AX11" s="88"/>
      <c r="AY11" s="88"/>
      <c r="AZ11" s="88"/>
      <c r="BA11" s="88"/>
      <c r="BB11" s="247">
        <v>8.0</v>
      </c>
      <c r="BC11" s="248">
        <v>3.0</v>
      </c>
      <c r="BD11" s="249">
        <v>4.0</v>
      </c>
      <c r="BE11" s="167">
        <f t="shared" si="1"/>
        <v>15</v>
      </c>
    </row>
    <row r="12" ht="15.0" customHeight="1">
      <c r="A12" s="22" t="s">
        <v>278</v>
      </c>
      <c r="B12" s="250"/>
      <c r="C12" s="242"/>
      <c r="D12" s="244"/>
      <c r="E12" s="243"/>
      <c r="F12" s="243"/>
      <c r="G12" s="242"/>
      <c r="H12" s="242"/>
      <c r="I12" s="242"/>
      <c r="J12" s="242"/>
      <c r="K12" s="242"/>
      <c r="L12" s="242"/>
      <c r="M12" s="246"/>
      <c r="N12" s="246"/>
      <c r="O12" s="88"/>
      <c r="P12" s="167"/>
      <c r="Q12" s="88"/>
      <c r="R12" s="88"/>
      <c r="S12" s="88"/>
      <c r="T12" s="245"/>
      <c r="U12" s="244"/>
      <c r="V12" s="245"/>
      <c r="W12" s="88"/>
      <c r="X12" s="243"/>
      <c r="Y12" s="88"/>
      <c r="Z12" s="245"/>
      <c r="AA12" s="88"/>
      <c r="AB12" s="88"/>
      <c r="AC12" s="88"/>
      <c r="AD12" s="246"/>
      <c r="AE12" s="88"/>
      <c r="AF12" s="246"/>
      <c r="AG12" s="246"/>
      <c r="AH12" s="88"/>
      <c r="AI12" s="246"/>
      <c r="AJ12" s="88"/>
      <c r="AK12" s="88"/>
      <c r="AL12" s="246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251"/>
      <c r="AX12" s="88"/>
      <c r="AY12" s="88"/>
      <c r="AZ12" s="88"/>
      <c r="BA12" s="88"/>
      <c r="BB12" s="247">
        <v>4.0</v>
      </c>
      <c r="BC12" s="248">
        <v>2.0</v>
      </c>
      <c r="BD12" s="249">
        <v>10.0</v>
      </c>
      <c r="BE12" s="167">
        <f t="shared" si="1"/>
        <v>16</v>
      </c>
    </row>
    <row r="13" ht="15.0" customHeight="1">
      <c r="A13" s="22" t="s">
        <v>166</v>
      </c>
      <c r="B13" s="242"/>
      <c r="C13" s="242"/>
      <c r="D13" s="244"/>
      <c r="E13" s="242"/>
      <c r="F13" s="242"/>
      <c r="G13" s="242"/>
      <c r="H13" s="242"/>
      <c r="I13" s="242"/>
      <c r="J13" s="242"/>
      <c r="K13" s="88"/>
      <c r="L13" s="88"/>
      <c r="M13" s="242"/>
      <c r="N13" s="242"/>
      <c r="O13" s="242"/>
      <c r="P13" s="243"/>
      <c r="Q13" s="244"/>
      <c r="R13" s="88"/>
      <c r="S13" s="243"/>
      <c r="T13" s="245"/>
      <c r="U13" s="88"/>
      <c r="V13" s="245"/>
      <c r="W13" s="244"/>
      <c r="X13" s="245"/>
      <c r="Y13" s="243"/>
      <c r="Z13" s="245"/>
      <c r="AA13" s="245"/>
      <c r="AB13" s="88"/>
      <c r="AC13" s="88"/>
      <c r="AD13" s="88"/>
      <c r="AE13" s="88"/>
      <c r="AF13" s="88"/>
      <c r="AG13" s="246"/>
      <c r="AH13" s="88"/>
      <c r="AI13" s="246"/>
      <c r="AJ13" s="246"/>
      <c r="AK13" s="88"/>
      <c r="AL13" s="88"/>
      <c r="AM13" s="88"/>
      <c r="AN13" s="88"/>
      <c r="AO13" s="88"/>
      <c r="AP13" s="246"/>
      <c r="AQ13" s="88"/>
      <c r="AR13" s="246"/>
      <c r="AS13" s="88"/>
      <c r="AT13" s="246"/>
      <c r="AU13" s="246"/>
      <c r="AV13" s="246"/>
      <c r="AW13" s="246"/>
      <c r="AX13" s="88"/>
      <c r="AY13" s="88"/>
      <c r="AZ13" s="88"/>
      <c r="BA13" s="88"/>
      <c r="BB13" s="247">
        <v>3.0</v>
      </c>
      <c r="BC13" s="248">
        <v>3.0</v>
      </c>
      <c r="BD13" s="249">
        <v>16.0</v>
      </c>
      <c r="BE13" s="167">
        <f t="shared" si="1"/>
        <v>22</v>
      </c>
    </row>
    <row r="14" ht="15.0" customHeight="1">
      <c r="A14" s="22" t="s">
        <v>4</v>
      </c>
      <c r="B14" s="250"/>
      <c r="C14" s="242"/>
      <c r="D14" s="88"/>
      <c r="E14" s="242"/>
      <c r="F14" s="243"/>
      <c r="G14" s="242"/>
      <c r="H14" s="88"/>
      <c r="I14" s="88"/>
      <c r="J14" s="242"/>
      <c r="K14" s="242"/>
      <c r="L14" s="242"/>
      <c r="M14" s="242"/>
      <c r="N14" s="242"/>
      <c r="O14" s="242"/>
      <c r="P14" s="167"/>
      <c r="Q14" s="88"/>
      <c r="R14" s="88"/>
      <c r="S14" s="243"/>
      <c r="T14" s="243"/>
      <c r="U14" s="246"/>
      <c r="V14" s="243"/>
      <c r="W14" s="244"/>
      <c r="X14" s="246"/>
      <c r="Y14" s="250"/>
      <c r="Z14" s="245"/>
      <c r="AA14" s="243"/>
      <c r="AB14" s="88"/>
      <c r="AC14" s="246"/>
      <c r="AD14" s="88"/>
      <c r="AE14" s="88"/>
      <c r="AF14" s="88"/>
      <c r="AG14" s="88"/>
      <c r="AH14" s="88"/>
      <c r="AI14" s="88"/>
      <c r="AJ14" s="246"/>
      <c r="AK14" s="246"/>
      <c r="AL14" s="88"/>
      <c r="AM14" s="88"/>
      <c r="AN14" s="88"/>
      <c r="AO14" s="246"/>
      <c r="AP14" s="88"/>
      <c r="AQ14" s="246"/>
      <c r="AR14" s="88"/>
      <c r="AS14" s="88"/>
      <c r="AT14" s="88"/>
      <c r="AU14" s="246"/>
      <c r="AV14" s="246"/>
      <c r="AW14" s="246"/>
      <c r="AX14" s="88"/>
      <c r="AY14" s="246"/>
      <c r="AZ14" s="246"/>
      <c r="BA14" s="246"/>
      <c r="BB14" s="247">
        <v>7.0</v>
      </c>
      <c r="BC14" s="248">
        <v>1.0</v>
      </c>
      <c r="BD14" s="249">
        <v>10.0</v>
      </c>
      <c r="BE14" s="167">
        <f t="shared" si="1"/>
        <v>18</v>
      </c>
    </row>
    <row r="15" ht="15.0" customHeight="1">
      <c r="A15" s="22" t="s">
        <v>14</v>
      </c>
      <c r="B15" s="250"/>
      <c r="C15" s="242"/>
      <c r="D15" s="88"/>
      <c r="E15" s="243"/>
      <c r="F15" s="243"/>
      <c r="G15" s="243"/>
      <c r="H15" s="243"/>
      <c r="I15" s="246"/>
      <c r="J15" s="243"/>
      <c r="K15" s="243"/>
      <c r="L15" s="88"/>
      <c r="M15" s="243"/>
      <c r="N15" s="88"/>
      <c r="O15" s="243"/>
      <c r="P15" s="245"/>
      <c r="Q15" s="246"/>
      <c r="R15" s="246"/>
      <c r="S15" s="88"/>
      <c r="T15" s="88"/>
      <c r="U15" s="244"/>
      <c r="V15" s="245"/>
      <c r="W15" s="88"/>
      <c r="X15" s="246"/>
      <c r="Y15" s="250"/>
      <c r="Z15" s="88"/>
      <c r="AA15" s="245"/>
      <c r="AB15" s="88"/>
      <c r="AC15" s="246"/>
      <c r="AD15" s="88"/>
      <c r="AE15" s="88"/>
      <c r="AF15" s="88"/>
      <c r="AG15" s="246"/>
      <c r="AH15" s="88"/>
      <c r="AI15" s="246"/>
      <c r="AJ15" s="246"/>
      <c r="AK15" s="246"/>
      <c r="AL15" s="88"/>
      <c r="AM15" s="88"/>
      <c r="AN15" s="88"/>
      <c r="AO15" s="88"/>
      <c r="AP15" s="88"/>
      <c r="AQ15" s="88"/>
      <c r="AR15" s="88"/>
      <c r="AS15" s="88"/>
      <c r="AT15" s="246"/>
      <c r="AU15" s="246"/>
      <c r="AV15" s="88"/>
      <c r="AW15" s="246"/>
      <c r="AX15" s="88"/>
      <c r="AY15" s="246"/>
      <c r="AZ15" s="246"/>
      <c r="BA15" s="88"/>
      <c r="BB15" s="247">
        <v>10.0</v>
      </c>
      <c r="BC15" s="248">
        <v>1.0</v>
      </c>
      <c r="BD15" s="249">
        <v>4.0</v>
      </c>
      <c r="BE15" s="167">
        <f t="shared" si="1"/>
        <v>15</v>
      </c>
    </row>
    <row r="16" ht="15.0" customHeight="1">
      <c r="A16" s="22" t="s">
        <v>296</v>
      </c>
      <c r="B16" s="246"/>
      <c r="C16" s="88"/>
      <c r="D16" s="88"/>
      <c r="E16" s="88"/>
      <c r="F16" s="243"/>
      <c r="G16" s="243"/>
      <c r="H16" s="242"/>
      <c r="I16" s="246"/>
      <c r="J16" s="88"/>
      <c r="K16" s="246"/>
      <c r="L16" s="243"/>
      <c r="M16" s="242"/>
      <c r="N16" s="88"/>
      <c r="O16" s="243"/>
      <c r="P16" s="245"/>
      <c r="Q16" s="244"/>
      <c r="R16" s="246"/>
      <c r="S16" s="88"/>
      <c r="T16" s="243"/>
      <c r="U16" s="244"/>
      <c r="V16" s="245"/>
      <c r="W16" s="246"/>
      <c r="X16" s="88"/>
      <c r="Y16" s="88"/>
      <c r="Z16" s="243"/>
      <c r="AA16" s="243"/>
      <c r="AB16" s="88"/>
      <c r="AC16" s="88"/>
      <c r="AD16" s="88"/>
      <c r="AE16" s="88"/>
      <c r="AF16" s="88"/>
      <c r="AG16" s="88"/>
      <c r="AH16" s="246"/>
      <c r="AI16" s="88"/>
      <c r="AJ16" s="88"/>
      <c r="AK16" s="246"/>
      <c r="AL16" s="88"/>
      <c r="AM16" s="88"/>
      <c r="AN16" s="88"/>
      <c r="AO16" s="88"/>
      <c r="AP16" s="246"/>
      <c r="AQ16" s="246"/>
      <c r="AR16" s="246"/>
      <c r="AS16" s="88"/>
      <c r="AT16" s="246"/>
      <c r="AU16" s="246"/>
      <c r="AV16" s="246"/>
      <c r="AW16" s="251"/>
      <c r="AX16" s="88"/>
      <c r="AY16" s="88"/>
      <c r="AZ16" s="88"/>
      <c r="BA16" s="88"/>
      <c r="BB16" s="247">
        <v>7.0</v>
      </c>
      <c r="BC16" s="248">
        <v>2.0</v>
      </c>
      <c r="BD16" s="249">
        <v>4.0</v>
      </c>
      <c r="BE16" s="167">
        <f t="shared" si="1"/>
        <v>13</v>
      </c>
    </row>
    <row r="17" ht="15.0" customHeight="1">
      <c r="A17" s="22" t="s">
        <v>138</v>
      </c>
      <c r="B17" s="88"/>
      <c r="C17" s="88"/>
      <c r="D17" s="244"/>
      <c r="E17" s="246"/>
      <c r="F17" s="88"/>
      <c r="G17" s="88"/>
      <c r="H17" s="246"/>
      <c r="I17" s="246"/>
      <c r="J17" s="88"/>
      <c r="K17" s="88"/>
      <c r="L17" s="242"/>
      <c r="M17" s="88"/>
      <c r="N17" s="88"/>
      <c r="O17" s="246"/>
      <c r="P17" s="167"/>
      <c r="Q17" s="246"/>
      <c r="R17" s="88"/>
      <c r="S17" s="246"/>
      <c r="T17" s="246"/>
      <c r="U17" s="246"/>
      <c r="V17" s="246"/>
      <c r="W17" s="88"/>
      <c r="X17" s="246"/>
      <c r="Y17" s="88"/>
      <c r="Z17" s="88"/>
      <c r="AA17" s="88"/>
      <c r="AB17" s="246"/>
      <c r="AC17" s="246"/>
      <c r="AD17" s="88"/>
      <c r="AE17" s="88"/>
      <c r="AF17" s="88"/>
      <c r="AG17" s="246"/>
      <c r="AH17" s="246"/>
      <c r="AI17" s="246"/>
      <c r="AJ17" s="246"/>
      <c r="AK17" s="246"/>
      <c r="AL17" s="246"/>
      <c r="AM17" s="246"/>
      <c r="AN17" s="246"/>
      <c r="AO17" s="88"/>
      <c r="AP17" s="246"/>
      <c r="AQ17" s="88"/>
      <c r="AR17" s="88"/>
      <c r="AS17" s="246"/>
      <c r="AT17" s="88"/>
      <c r="AU17" s="251"/>
      <c r="AV17" s="251"/>
      <c r="AW17" s="88"/>
      <c r="AX17" s="251"/>
      <c r="AY17" s="88"/>
      <c r="AZ17" s="88"/>
      <c r="BA17" s="88"/>
      <c r="BB17" s="247">
        <v>0.0</v>
      </c>
      <c r="BC17" s="248">
        <v>1.0</v>
      </c>
      <c r="BD17" s="249">
        <v>1.0</v>
      </c>
      <c r="BE17" s="167">
        <f t="shared" si="1"/>
        <v>2</v>
      </c>
    </row>
    <row r="18" ht="15.0" customHeight="1">
      <c r="A18" s="22" t="s">
        <v>359</v>
      </c>
      <c r="B18" s="88"/>
      <c r="C18" s="243"/>
      <c r="D18" s="88"/>
      <c r="E18" s="88"/>
      <c r="F18" s="246"/>
      <c r="G18" s="88"/>
      <c r="H18" s="88"/>
      <c r="I18" s="88"/>
      <c r="J18" s="88"/>
      <c r="K18" s="88"/>
      <c r="L18" s="88"/>
      <c r="M18" s="88"/>
      <c r="N18" s="88"/>
      <c r="O18" s="246"/>
      <c r="P18" s="167"/>
      <c r="Q18" s="246"/>
      <c r="R18" s="88"/>
      <c r="S18" s="88"/>
      <c r="T18" s="246"/>
      <c r="U18" s="246"/>
      <c r="V18" s="246"/>
      <c r="W18" s="244"/>
      <c r="X18" s="243"/>
      <c r="Y18" s="246"/>
      <c r="Z18" s="88"/>
      <c r="AA18" s="245"/>
      <c r="AB18" s="88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88"/>
      <c r="AO18" s="246"/>
      <c r="AP18" s="246"/>
      <c r="AQ18" s="246"/>
      <c r="AR18" s="246"/>
      <c r="AS18" s="88"/>
      <c r="AT18" s="246"/>
      <c r="AU18" s="251"/>
      <c r="AV18" s="251"/>
      <c r="AW18" s="88"/>
      <c r="AX18" s="251"/>
      <c r="AY18" s="246"/>
      <c r="AZ18" s="252"/>
      <c r="BA18" s="252"/>
      <c r="BB18" s="247">
        <v>2.0</v>
      </c>
      <c r="BC18" s="248">
        <v>1.0</v>
      </c>
      <c r="BD18" s="249">
        <v>1.0</v>
      </c>
      <c r="BE18" s="167">
        <f t="shared" si="1"/>
        <v>4</v>
      </c>
    </row>
    <row r="19" ht="15.0" customHeight="1">
      <c r="A19" s="22" t="s">
        <v>210</v>
      </c>
      <c r="B19" s="88"/>
      <c r="C19" s="88"/>
      <c r="D19" s="88"/>
      <c r="E19" s="242"/>
      <c r="F19" s="88"/>
      <c r="G19" s="88"/>
      <c r="H19" s="88"/>
      <c r="I19" s="242"/>
      <c r="J19" s="246"/>
      <c r="K19" s="246"/>
      <c r="L19" s="246"/>
      <c r="M19" s="246"/>
      <c r="N19" s="88"/>
      <c r="O19" s="246"/>
      <c r="P19" s="167"/>
      <c r="Q19" s="246"/>
      <c r="R19" s="246"/>
      <c r="S19" s="246"/>
      <c r="T19" s="88"/>
      <c r="U19" s="246"/>
      <c r="V19" s="88"/>
      <c r="W19" s="246"/>
      <c r="X19" s="246"/>
      <c r="Y19" s="88"/>
      <c r="Z19" s="246"/>
      <c r="AA19" s="88"/>
      <c r="AB19" s="246"/>
      <c r="AC19" s="246"/>
      <c r="AD19" s="246"/>
      <c r="AE19" s="88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51"/>
      <c r="AV19" s="251"/>
      <c r="AW19" s="251"/>
      <c r="AX19" s="251"/>
      <c r="AY19" s="246"/>
      <c r="AZ19" s="252"/>
      <c r="BA19" s="252"/>
      <c r="BB19" s="247">
        <v>0.0</v>
      </c>
      <c r="BC19" s="248">
        <v>0.0</v>
      </c>
      <c r="BD19" s="249">
        <v>2.0</v>
      </c>
      <c r="BE19" s="167">
        <f t="shared" si="1"/>
        <v>2</v>
      </c>
    </row>
    <row r="20" ht="15.0" customHeight="1">
      <c r="A20" s="22" t="s">
        <v>211</v>
      </c>
      <c r="B20" s="88"/>
      <c r="C20" s="88"/>
      <c r="D20" s="88"/>
      <c r="E20" s="242"/>
      <c r="F20" s="88"/>
      <c r="G20" s="88"/>
      <c r="H20" s="88"/>
      <c r="I20" s="88"/>
      <c r="J20" s="88"/>
      <c r="K20" s="246"/>
      <c r="L20" s="88"/>
      <c r="M20" s="88"/>
      <c r="N20" s="88"/>
      <c r="O20" s="246"/>
      <c r="P20" s="167"/>
      <c r="Q20" s="88"/>
      <c r="R20" s="246"/>
      <c r="S20" s="243"/>
      <c r="T20" s="88"/>
      <c r="U20" s="88"/>
      <c r="V20" s="246"/>
      <c r="W20" s="246"/>
      <c r="X20" s="88"/>
      <c r="Y20" s="88"/>
      <c r="Z20" s="246"/>
      <c r="AA20" s="88"/>
      <c r="AB20" s="246"/>
      <c r="AC20" s="88"/>
      <c r="AD20" s="88"/>
      <c r="AE20" s="88"/>
      <c r="AF20" s="246"/>
      <c r="AG20" s="246"/>
      <c r="AH20" s="88"/>
      <c r="AI20" s="246"/>
      <c r="AJ20" s="246"/>
      <c r="AK20" s="88"/>
      <c r="AL20" s="88"/>
      <c r="AM20" s="88"/>
      <c r="AN20" s="88"/>
      <c r="AO20" s="246"/>
      <c r="AP20" s="246"/>
      <c r="AQ20" s="246"/>
      <c r="AR20" s="88"/>
      <c r="AS20" s="88"/>
      <c r="AT20" s="246"/>
      <c r="AU20" s="88"/>
      <c r="AV20" s="88"/>
      <c r="AW20" s="88"/>
      <c r="AX20" s="251"/>
      <c r="AY20" s="88"/>
      <c r="AZ20" s="247"/>
      <c r="BA20" s="252"/>
      <c r="BB20" s="247">
        <v>1.0</v>
      </c>
      <c r="BC20" s="248">
        <v>0.0</v>
      </c>
      <c r="BD20" s="249">
        <v>1.0</v>
      </c>
      <c r="BE20" s="167">
        <f t="shared" si="1"/>
        <v>2</v>
      </c>
    </row>
    <row r="21" ht="15.0" customHeight="1">
      <c r="A21" s="22" t="s">
        <v>417</v>
      </c>
      <c r="B21" s="88"/>
      <c r="C21" s="88"/>
      <c r="D21" s="244"/>
      <c r="E21" s="88"/>
      <c r="F21" s="242"/>
      <c r="G21" s="88"/>
      <c r="H21" s="242"/>
      <c r="I21" s="243"/>
      <c r="J21" s="243"/>
      <c r="K21" s="242"/>
      <c r="L21" s="88"/>
      <c r="M21" s="246"/>
      <c r="N21" s="243"/>
      <c r="O21" s="88"/>
      <c r="P21" s="245"/>
      <c r="Q21" s="244"/>
      <c r="R21" s="246"/>
      <c r="S21" s="243"/>
      <c r="T21" s="243"/>
      <c r="U21" s="244"/>
      <c r="V21" s="246"/>
      <c r="W21" s="244"/>
      <c r="X21" s="88"/>
      <c r="Y21" s="245"/>
      <c r="Z21" s="88"/>
      <c r="AA21" s="246"/>
      <c r="AB21" s="246"/>
      <c r="AC21" s="246"/>
      <c r="AD21" s="246"/>
      <c r="AE21" s="246"/>
      <c r="AF21" s="88"/>
      <c r="AG21" s="246"/>
      <c r="AH21" s="246"/>
      <c r="AI21" s="246"/>
      <c r="AJ21" s="246"/>
      <c r="AK21" s="246"/>
      <c r="AL21" s="246"/>
      <c r="AM21" s="88"/>
      <c r="AN21" s="246"/>
      <c r="AO21" s="88"/>
      <c r="AP21" s="88"/>
      <c r="AQ21" s="246"/>
      <c r="AR21" s="88"/>
      <c r="AS21" s="88"/>
      <c r="AT21" s="246"/>
      <c r="AU21" s="88"/>
      <c r="AV21" s="88"/>
      <c r="AW21" s="88"/>
      <c r="AX21" s="246"/>
      <c r="AY21" s="246"/>
      <c r="AZ21" s="246"/>
      <c r="BA21" s="246"/>
      <c r="BB21" s="247">
        <v>5.0</v>
      </c>
      <c r="BC21" s="248">
        <v>4.0</v>
      </c>
      <c r="BD21" s="249">
        <v>5.0</v>
      </c>
      <c r="BE21" s="167">
        <f t="shared" si="1"/>
        <v>14</v>
      </c>
    </row>
    <row r="22" ht="15.0" customHeight="1">
      <c r="A22" s="22" t="s">
        <v>263</v>
      </c>
      <c r="B22" s="88"/>
      <c r="C22" s="246"/>
      <c r="D22" s="246"/>
      <c r="E22" s="246"/>
      <c r="F22" s="88"/>
      <c r="G22" s="243"/>
      <c r="H22" s="242"/>
      <c r="I22" s="242"/>
      <c r="J22" s="243"/>
      <c r="K22" s="246"/>
      <c r="L22" s="242"/>
      <c r="M22" s="242"/>
      <c r="N22" s="242"/>
      <c r="O22" s="242"/>
      <c r="P22" s="167"/>
      <c r="Q22" s="244"/>
      <c r="R22" s="246"/>
      <c r="S22" s="88"/>
      <c r="T22" s="246"/>
      <c r="U22" s="244"/>
      <c r="V22" s="246"/>
      <c r="W22" s="246"/>
      <c r="X22" s="243"/>
      <c r="Y22" s="246"/>
      <c r="Z22" s="245"/>
      <c r="AA22" s="246"/>
      <c r="AB22" s="88"/>
      <c r="AC22" s="246"/>
      <c r="AD22" s="246"/>
      <c r="AE22" s="246"/>
      <c r="AF22" s="246"/>
      <c r="AG22" s="246"/>
      <c r="AH22" s="246"/>
      <c r="AI22" s="246"/>
      <c r="AJ22" s="246"/>
      <c r="AK22" s="246"/>
      <c r="AL22" s="246"/>
      <c r="AM22" s="246"/>
      <c r="AN22" s="246"/>
      <c r="AO22" s="246"/>
      <c r="AP22" s="246"/>
      <c r="AQ22" s="246"/>
      <c r="AR22" s="246"/>
      <c r="AS22" s="246"/>
      <c r="AT22" s="246"/>
      <c r="AU22" s="251"/>
      <c r="AV22" s="246"/>
      <c r="AW22" s="251"/>
      <c r="AX22" s="246"/>
      <c r="AY22" s="246"/>
      <c r="AZ22" s="252"/>
      <c r="BA22" s="252"/>
      <c r="BB22" s="247">
        <v>3.0</v>
      </c>
      <c r="BC22" s="248">
        <v>2.0</v>
      </c>
      <c r="BD22" s="249">
        <v>7.0</v>
      </c>
      <c r="BE22" s="167">
        <f t="shared" si="1"/>
        <v>12</v>
      </c>
    </row>
    <row r="23" ht="15.0" customHeight="1">
      <c r="A23" s="22" t="s">
        <v>11</v>
      </c>
      <c r="B23" s="88"/>
      <c r="C23" s="246"/>
      <c r="D23" s="246"/>
      <c r="E23" s="246"/>
      <c r="F23" s="88"/>
      <c r="G23" s="246"/>
      <c r="H23" s="246"/>
      <c r="I23" s="243"/>
      <c r="J23" s="246"/>
      <c r="K23" s="88"/>
      <c r="L23" s="88"/>
      <c r="M23" s="88"/>
      <c r="N23" s="246"/>
      <c r="O23" s="246"/>
      <c r="P23" s="167"/>
      <c r="Q23" s="246"/>
      <c r="R23" s="246"/>
      <c r="S23" s="246"/>
      <c r="T23" s="88"/>
      <c r="U23" s="246"/>
      <c r="V23" s="88"/>
      <c r="W23" s="88"/>
      <c r="X23" s="246"/>
      <c r="Y23" s="88"/>
      <c r="Z23" s="88"/>
      <c r="AA23" s="246"/>
      <c r="AB23" s="246"/>
      <c r="AC23" s="246"/>
      <c r="AD23" s="88"/>
      <c r="AE23" s="246"/>
      <c r="AF23" s="246"/>
      <c r="AG23" s="246"/>
      <c r="AH23" s="246"/>
      <c r="AI23" s="246"/>
      <c r="AJ23" s="246"/>
      <c r="AK23" s="246"/>
      <c r="AL23" s="246"/>
      <c r="AM23" s="246"/>
      <c r="AN23" s="246"/>
      <c r="AO23" s="246"/>
      <c r="AP23" s="246"/>
      <c r="AQ23" s="246"/>
      <c r="AR23" s="246"/>
      <c r="AS23" s="246"/>
      <c r="AT23" s="246"/>
      <c r="AU23" s="251"/>
      <c r="AV23" s="251"/>
      <c r="AW23" s="251"/>
      <c r="AX23" s="251"/>
      <c r="AY23" s="246"/>
      <c r="AZ23" s="252"/>
      <c r="BA23" s="252"/>
      <c r="BB23" s="247">
        <v>1.0</v>
      </c>
      <c r="BC23" s="248">
        <v>0.0</v>
      </c>
      <c r="BD23" s="249">
        <v>0.0</v>
      </c>
      <c r="BE23" s="167">
        <f t="shared" si="1"/>
        <v>1</v>
      </c>
    </row>
    <row r="24" ht="15.0" customHeight="1">
      <c r="A24" s="22" t="s">
        <v>418</v>
      </c>
      <c r="B24" s="88"/>
      <c r="C24" s="88"/>
      <c r="D24" s="88"/>
      <c r="E24" s="246"/>
      <c r="F24" s="246"/>
      <c r="G24" s="88"/>
      <c r="H24" s="246"/>
      <c r="I24" s="246"/>
      <c r="J24" s="246"/>
      <c r="K24" s="246"/>
      <c r="L24" s="88"/>
      <c r="M24" s="88"/>
      <c r="N24" s="88"/>
      <c r="O24" s="88"/>
      <c r="P24" s="167"/>
      <c r="Q24" s="246"/>
      <c r="R24" s="246"/>
      <c r="S24" s="88"/>
      <c r="T24" s="88"/>
      <c r="U24" s="88"/>
      <c r="V24" s="246"/>
      <c r="W24" s="244"/>
      <c r="X24" s="246"/>
      <c r="Y24" s="246"/>
      <c r="Z24" s="246"/>
      <c r="AA24" s="246"/>
      <c r="AB24" s="88"/>
      <c r="AC24" s="246"/>
      <c r="AD24" s="246"/>
      <c r="AE24" s="246"/>
      <c r="AF24" s="246"/>
      <c r="AG24" s="246"/>
      <c r="AH24" s="246"/>
      <c r="AI24" s="246"/>
      <c r="AJ24" s="246"/>
      <c r="AK24" s="246"/>
      <c r="AL24" s="246"/>
      <c r="AM24" s="246"/>
      <c r="AN24" s="246"/>
      <c r="AO24" s="246"/>
      <c r="AP24" s="246"/>
      <c r="AQ24" s="246"/>
      <c r="AR24" s="246"/>
      <c r="AS24" s="246"/>
      <c r="AT24" s="88"/>
      <c r="AU24" s="251"/>
      <c r="AV24" s="251"/>
      <c r="AW24" s="251"/>
      <c r="AX24" s="88"/>
      <c r="AY24" s="246"/>
      <c r="AZ24" s="252"/>
      <c r="BA24" s="252"/>
      <c r="BB24" s="247">
        <v>0.0</v>
      </c>
      <c r="BC24" s="248">
        <v>1.0</v>
      </c>
      <c r="BD24" s="249">
        <v>0.0</v>
      </c>
      <c r="BE24" s="167">
        <f t="shared" si="1"/>
        <v>1</v>
      </c>
    </row>
    <row r="25" ht="15.0" customHeight="1">
      <c r="A25" s="22" t="s">
        <v>376</v>
      </c>
      <c r="B25" s="88"/>
      <c r="C25" s="88"/>
      <c r="D25" s="244"/>
      <c r="E25" s="88"/>
      <c r="F25" s="246"/>
      <c r="G25" s="88"/>
      <c r="H25" s="246"/>
      <c r="I25" s="246"/>
      <c r="J25" s="246"/>
      <c r="K25" s="246"/>
      <c r="L25" s="246"/>
      <c r="M25" s="88"/>
      <c r="N25" s="88"/>
      <c r="O25" s="88"/>
      <c r="P25" s="167"/>
      <c r="Q25" s="88"/>
      <c r="R25" s="88"/>
      <c r="S25" s="88"/>
      <c r="T25" s="88"/>
      <c r="U25" s="88"/>
      <c r="V25" s="246"/>
      <c r="W25" s="88"/>
      <c r="X25" s="246"/>
      <c r="Y25" s="88"/>
      <c r="Z25" s="88"/>
      <c r="AA25" s="88"/>
      <c r="AB25" s="88"/>
      <c r="AC25" s="88"/>
      <c r="AD25" s="246"/>
      <c r="AE25" s="88"/>
      <c r="AF25" s="246"/>
      <c r="AG25" s="88"/>
      <c r="AH25" s="246"/>
      <c r="AI25" s="246"/>
      <c r="AJ25" s="88"/>
      <c r="AK25" s="88"/>
      <c r="AL25" s="88"/>
      <c r="AM25" s="88"/>
      <c r="AN25" s="88"/>
      <c r="AO25" s="88"/>
      <c r="AP25" s="88"/>
      <c r="AQ25" s="88"/>
      <c r="AR25" s="88"/>
      <c r="AS25" s="246"/>
      <c r="AT25" s="246"/>
      <c r="AU25" s="88"/>
      <c r="AV25" s="88"/>
      <c r="AW25" s="251"/>
      <c r="AX25" s="88"/>
      <c r="AY25" s="88"/>
      <c r="AZ25" s="88"/>
      <c r="BA25" s="88"/>
      <c r="BB25" s="247">
        <v>0.0</v>
      </c>
      <c r="BC25" s="248">
        <v>1.0</v>
      </c>
      <c r="BD25" s="249">
        <v>0.0</v>
      </c>
      <c r="BE25" s="167">
        <f t="shared" si="1"/>
        <v>1</v>
      </c>
    </row>
    <row r="26" ht="15.0" customHeight="1">
      <c r="A26" s="22" t="s">
        <v>384</v>
      </c>
      <c r="B26" s="88"/>
      <c r="C26" s="88"/>
      <c r="D26" s="88"/>
      <c r="E26" s="88"/>
      <c r="F26" s="246"/>
      <c r="G26" s="246"/>
      <c r="H26" s="246"/>
      <c r="I26" s="246"/>
      <c r="J26" s="246"/>
      <c r="K26" s="246"/>
      <c r="L26" s="246"/>
      <c r="M26" s="246"/>
      <c r="N26" s="243"/>
      <c r="O26" s="246"/>
      <c r="P26" s="167"/>
      <c r="Q26" s="246"/>
      <c r="R26" s="246"/>
      <c r="S26" s="88"/>
      <c r="T26" s="246"/>
      <c r="U26" s="246"/>
      <c r="V26" s="246"/>
      <c r="W26" s="246"/>
      <c r="X26" s="246"/>
      <c r="Y26" s="246"/>
      <c r="Z26" s="246"/>
      <c r="AA26" s="246"/>
      <c r="AB26" s="246"/>
      <c r="AC26" s="246"/>
      <c r="AD26" s="246"/>
      <c r="AE26" s="246"/>
      <c r="AF26" s="246"/>
      <c r="AG26" s="246"/>
      <c r="AH26" s="246"/>
      <c r="AI26" s="246"/>
      <c r="AJ26" s="246"/>
      <c r="AK26" s="246"/>
      <c r="AL26" s="246"/>
      <c r="AM26" s="246"/>
      <c r="AN26" s="246"/>
      <c r="AO26" s="246"/>
      <c r="AP26" s="246"/>
      <c r="AQ26" s="246"/>
      <c r="AR26" s="246"/>
      <c r="AS26" s="246"/>
      <c r="AT26" s="246"/>
      <c r="AU26" s="251"/>
      <c r="AV26" s="246"/>
      <c r="AW26" s="251"/>
      <c r="AX26" s="88"/>
      <c r="AY26" s="246"/>
      <c r="AZ26" s="252"/>
      <c r="BA26" s="252"/>
      <c r="BB26" s="247">
        <v>1.0</v>
      </c>
      <c r="BC26" s="248">
        <v>0.0</v>
      </c>
      <c r="BD26" s="249">
        <v>0.0</v>
      </c>
      <c r="BE26" s="167">
        <f t="shared" si="1"/>
        <v>1</v>
      </c>
    </row>
    <row r="27" ht="15.0" customHeight="1">
      <c r="A27" s="22" t="s">
        <v>387</v>
      </c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167"/>
      <c r="Q27" s="88"/>
      <c r="R27" s="88"/>
      <c r="S27" s="243"/>
      <c r="T27" s="246"/>
      <c r="U27" s="246"/>
      <c r="V27" s="88"/>
      <c r="W27" s="88"/>
      <c r="X27" s="88"/>
      <c r="Y27" s="88"/>
      <c r="Z27" s="88"/>
      <c r="AA27" s="88"/>
      <c r="AB27" s="88"/>
      <c r="AC27" s="88"/>
      <c r="AD27" s="246"/>
      <c r="AE27" s="88"/>
      <c r="AF27" s="246"/>
      <c r="AG27" s="246"/>
      <c r="AH27" s="88"/>
      <c r="AI27" s="88"/>
      <c r="AJ27" s="88"/>
      <c r="AK27" s="88"/>
      <c r="AL27" s="88"/>
      <c r="AM27" s="88"/>
      <c r="AN27" s="88"/>
      <c r="AO27" s="246"/>
      <c r="AP27" s="246"/>
      <c r="AQ27" s="88"/>
      <c r="AR27" s="88"/>
      <c r="AS27" s="88"/>
      <c r="AT27" s="88"/>
      <c r="AU27" s="88"/>
      <c r="AV27" s="88"/>
      <c r="AW27" s="246"/>
      <c r="AX27" s="88"/>
      <c r="AY27" s="88"/>
      <c r="AZ27" s="247"/>
      <c r="BA27" s="247"/>
      <c r="BB27" s="247">
        <v>1.0</v>
      </c>
      <c r="BC27" s="248">
        <v>0.0</v>
      </c>
      <c r="BD27" s="249">
        <v>0.0</v>
      </c>
      <c r="BE27" s="167">
        <f t="shared" si="1"/>
        <v>1</v>
      </c>
    </row>
    <row r="28" ht="15.0" customHeight="1">
      <c r="A28" s="22" t="s">
        <v>259</v>
      </c>
      <c r="B28" s="88"/>
      <c r="C28" s="88"/>
      <c r="D28" s="88"/>
      <c r="E28" s="88"/>
      <c r="F28" s="88"/>
      <c r="G28" s="88"/>
      <c r="H28" s="88"/>
      <c r="I28" s="88"/>
      <c r="J28" s="246"/>
      <c r="K28" s="246"/>
      <c r="L28" s="246"/>
      <c r="M28" s="246"/>
      <c r="N28" s="88"/>
      <c r="O28" s="246"/>
      <c r="P28" s="167"/>
      <c r="Q28" s="88"/>
      <c r="R28" s="246"/>
      <c r="S28" s="246"/>
      <c r="T28" s="246"/>
      <c r="U28" s="246"/>
      <c r="V28" s="246"/>
      <c r="W28" s="244"/>
      <c r="X28" s="246"/>
      <c r="Y28" s="246"/>
      <c r="Z28" s="246"/>
      <c r="AA28" s="246"/>
      <c r="AB28" s="246"/>
      <c r="AC28" s="246"/>
      <c r="AD28" s="246"/>
      <c r="AE28" s="246"/>
      <c r="AF28" s="246"/>
      <c r="AG28" s="246"/>
      <c r="AH28" s="246"/>
      <c r="AI28" s="246"/>
      <c r="AJ28" s="246"/>
      <c r="AK28" s="246"/>
      <c r="AL28" s="246"/>
      <c r="AM28" s="246"/>
      <c r="AN28" s="246"/>
      <c r="AO28" s="88"/>
      <c r="AP28" s="246"/>
      <c r="AQ28" s="246"/>
      <c r="AR28" s="88"/>
      <c r="AS28" s="88"/>
      <c r="AT28" s="88"/>
      <c r="AU28" s="251"/>
      <c r="AV28" s="251"/>
      <c r="AW28" s="88"/>
      <c r="AX28" s="251"/>
      <c r="AY28" s="88"/>
      <c r="AZ28" s="88"/>
      <c r="BA28" s="88"/>
      <c r="BB28" s="247">
        <v>0.0</v>
      </c>
      <c r="BC28" s="248">
        <v>1.0</v>
      </c>
      <c r="BD28" s="249">
        <v>0.0</v>
      </c>
      <c r="BE28" s="167">
        <f t="shared" si="1"/>
        <v>1</v>
      </c>
    </row>
    <row r="29" ht="15.0" customHeight="1">
      <c r="A29" s="22"/>
      <c r="B29" s="253"/>
      <c r="C29" s="253"/>
      <c r="D29" s="253"/>
      <c r="E29" s="253"/>
      <c r="F29" s="253"/>
      <c r="G29" s="253"/>
      <c r="H29" s="253"/>
      <c r="I29" s="253"/>
      <c r="J29" s="253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  <c r="AA29" s="253"/>
      <c r="AB29" s="253"/>
      <c r="AC29" s="253"/>
      <c r="AD29" s="253"/>
      <c r="AE29" s="253"/>
      <c r="AF29" s="253"/>
      <c r="AG29" s="253"/>
      <c r="AH29" s="253"/>
      <c r="AI29" s="253"/>
      <c r="AJ29" s="253"/>
      <c r="AK29" s="253"/>
      <c r="AL29" s="253"/>
      <c r="AM29" s="253"/>
      <c r="AN29" s="253"/>
      <c r="AO29" s="253"/>
      <c r="AP29" s="253"/>
      <c r="AQ29" s="253"/>
      <c r="AR29" s="253"/>
      <c r="AS29" s="253"/>
      <c r="AT29" s="253"/>
      <c r="AU29" s="253"/>
      <c r="AV29" s="253"/>
      <c r="AW29" s="253"/>
      <c r="AX29" s="253"/>
      <c r="AY29" s="253"/>
      <c r="AZ29" s="253"/>
      <c r="BA29" s="253"/>
      <c r="BB29" s="253"/>
      <c r="BC29" s="254"/>
      <c r="BD29" s="254"/>
      <c r="BE29" s="255"/>
      <c r="BF29" s="124"/>
    </row>
    <row r="30" ht="15.0" customHeight="1">
      <c r="A30" s="23"/>
      <c r="B30" s="256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  <c r="AA30" s="253"/>
      <c r="AB30" s="253"/>
      <c r="AC30" s="253"/>
      <c r="AD30" s="253"/>
      <c r="AE30" s="253"/>
      <c r="AF30" s="253"/>
      <c r="AG30" s="253"/>
      <c r="AH30" s="253"/>
      <c r="AI30" s="253"/>
      <c r="AJ30" s="253"/>
      <c r="AK30" s="253"/>
      <c r="AL30" s="253"/>
      <c r="AM30" s="253"/>
      <c r="AN30" s="253"/>
      <c r="AO30" s="253"/>
      <c r="AP30" s="253"/>
      <c r="AQ30" s="253"/>
      <c r="AR30" s="253"/>
      <c r="AS30" s="253"/>
      <c r="AT30" s="253"/>
      <c r="AU30" s="253"/>
      <c r="AV30" s="253"/>
      <c r="AW30" s="253"/>
      <c r="AX30" s="253"/>
      <c r="AY30" s="253"/>
      <c r="AZ30" s="253"/>
      <c r="BA30" s="253"/>
      <c r="BB30" s="253"/>
      <c r="BC30" s="254"/>
      <c r="BD30" s="254"/>
      <c r="BE30" s="255"/>
      <c r="BF30" s="124"/>
    </row>
    <row r="31" ht="14.25" customHeight="1">
      <c r="B31" s="232" t="s">
        <v>397</v>
      </c>
      <c r="C31" s="2"/>
      <c r="D31" s="2"/>
      <c r="E31" s="2"/>
      <c r="F31" s="3"/>
      <c r="G31" s="232" t="s">
        <v>398</v>
      </c>
      <c r="H31" s="2"/>
      <c r="I31" s="2"/>
      <c r="J31" s="3"/>
      <c r="K31" s="232" t="s">
        <v>399</v>
      </c>
      <c r="L31" s="2"/>
      <c r="M31" s="2"/>
      <c r="N31" s="3"/>
      <c r="O31" s="232" t="s">
        <v>400</v>
      </c>
      <c r="P31" s="2"/>
      <c r="Q31" s="2"/>
      <c r="R31" s="2"/>
      <c r="S31" s="3"/>
      <c r="T31" s="232" t="s">
        <v>401</v>
      </c>
      <c r="U31" s="2"/>
      <c r="V31" s="2"/>
      <c r="W31" s="3"/>
      <c r="X31" s="232" t="s">
        <v>402</v>
      </c>
      <c r="Y31" s="2"/>
      <c r="Z31" s="2"/>
      <c r="AA31" s="3"/>
      <c r="AB31" s="232" t="s">
        <v>403</v>
      </c>
      <c r="AC31" s="2"/>
      <c r="AD31" s="2"/>
      <c r="AE31" s="2"/>
      <c r="AF31" s="3"/>
      <c r="AG31" s="232" t="s">
        <v>404</v>
      </c>
      <c r="AH31" s="2"/>
      <c r="AI31" s="2"/>
      <c r="AJ31" s="3"/>
      <c r="AK31" s="232" t="s">
        <v>405</v>
      </c>
      <c r="AL31" s="2"/>
      <c r="AM31" s="2"/>
      <c r="AN31" s="3"/>
      <c r="AO31" s="232" t="s">
        <v>406</v>
      </c>
      <c r="AP31" s="2"/>
      <c r="AQ31" s="2"/>
      <c r="AR31" s="2"/>
      <c r="AS31" s="3"/>
      <c r="AT31" s="232" t="s">
        <v>407</v>
      </c>
      <c r="AU31" s="2"/>
      <c r="AV31" s="2"/>
      <c r="AW31" s="3"/>
      <c r="AX31" s="232" t="s">
        <v>408</v>
      </c>
      <c r="AY31" s="2"/>
      <c r="AZ31" s="2"/>
      <c r="BA31" s="3"/>
    </row>
    <row r="32" ht="35.25" customHeight="1">
      <c r="A32" s="257" t="s">
        <v>419</v>
      </c>
      <c r="B32" s="234">
        <v>45902.0</v>
      </c>
      <c r="C32" s="235">
        <v>45909.0</v>
      </c>
      <c r="D32" s="235">
        <v>45916.0</v>
      </c>
      <c r="E32" s="235">
        <v>45923.0</v>
      </c>
      <c r="F32" s="236">
        <v>45930.0</v>
      </c>
      <c r="G32" s="234">
        <v>45937.0</v>
      </c>
      <c r="H32" s="235">
        <v>45944.0</v>
      </c>
      <c r="I32" s="235">
        <v>2121.0</v>
      </c>
      <c r="J32" s="236">
        <v>45958.0</v>
      </c>
      <c r="K32" s="234">
        <v>45965.0</v>
      </c>
      <c r="L32" s="235">
        <v>45972.0</v>
      </c>
      <c r="M32" s="235">
        <v>45979.0</v>
      </c>
      <c r="N32" s="236">
        <v>45986.0</v>
      </c>
      <c r="O32" s="234">
        <v>45993.0</v>
      </c>
      <c r="P32" s="235">
        <v>46000.0</v>
      </c>
      <c r="Q32" s="235">
        <v>46007.0</v>
      </c>
      <c r="R32" s="235" t="s">
        <v>410</v>
      </c>
      <c r="S32" s="236">
        <v>46021.0</v>
      </c>
      <c r="T32" s="234">
        <v>46030.0</v>
      </c>
      <c r="U32" s="235">
        <v>46036.0</v>
      </c>
      <c r="V32" s="235">
        <v>46042.0</v>
      </c>
      <c r="W32" s="236">
        <v>46049.0</v>
      </c>
      <c r="X32" s="234">
        <v>46057.0</v>
      </c>
      <c r="Y32" s="235">
        <v>46063.0</v>
      </c>
      <c r="Z32" s="235">
        <v>46070.0</v>
      </c>
      <c r="AA32" s="236">
        <v>46077.0</v>
      </c>
      <c r="AB32" s="234"/>
      <c r="AC32" s="235"/>
      <c r="AD32" s="235"/>
      <c r="AE32" s="235"/>
      <c r="AF32" s="236"/>
      <c r="AG32" s="234"/>
      <c r="AH32" s="235"/>
      <c r="AI32" s="235"/>
      <c r="AJ32" s="236"/>
      <c r="AK32" s="234"/>
      <c r="AL32" s="235"/>
      <c r="AM32" s="235"/>
      <c r="AN32" s="236"/>
      <c r="AO32" s="234"/>
      <c r="AP32" s="235"/>
      <c r="AQ32" s="235"/>
      <c r="AR32" s="235"/>
      <c r="AS32" s="236"/>
      <c r="AT32" s="234"/>
      <c r="AU32" s="235"/>
      <c r="AV32" s="235"/>
      <c r="AW32" s="236"/>
      <c r="AX32" s="234"/>
      <c r="AY32" s="235"/>
      <c r="AZ32" s="235"/>
      <c r="BA32" s="236"/>
      <c r="BB32" s="258" t="s">
        <v>411</v>
      </c>
    </row>
    <row r="33" ht="15.0" customHeight="1">
      <c r="A33" s="22" t="s">
        <v>5</v>
      </c>
      <c r="B33" s="259">
        <v>2.0</v>
      </c>
      <c r="C33" s="259">
        <v>1.0</v>
      </c>
      <c r="D33" s="259">
        <v>1.0</v>
      </c>
      <c r="E33" s="259">
        <v>1.0</v>
      </c>
      <c r="F33" s="259"/>
      <c r="G33" s="259">
        <v>1.0</v>
      </c>
      <c r="H33" s="259"/>
      <c r="I33" s="259">
        <v>2.0</v>
      </c>
      <c r="J33" s="259"/>
      <c r="K33" s="259">
        <v>3.0</v>
      </c>
      <c r="L33" s="259">
        <v>1.0</v>
      </c>
      <c r="M33" s="259">
        <v>2.0</v>
      </c>
      <c r="N33" s="259">
        <v>2.0</v>
      </c>
      <c r="O33" s="259"/>
      <c r="P33" s="259">
        <v>1.0</v>
      </c>
      <c r="Q33" s="259"/>
      <c r="R33" s="259"/>
      <c r="S33" s="259"/>
      <c r="T33" s="259"/>
      <c r="U33" s="259"/>
      <c r="V33" s="259"/>
      <c r="W33" s="259">
        <v>1.0</v>
      </c>
      <c r="X33" s="259">
        <v>1.0</v>
      </c>
      <c r="Y33" s="259">
        <v>1.0</v>
      </c>
      <c r="Z33" s="259">
        <v>1.0</v>
      </c>
      <c r="AA33" s="259">
        <v>2.0</v>
      </c>
      <c r="AB33" s="259"/>
      <c r="AC33" s="259"/>
      <c r="AD33" s="259"/>
      <c r="AE33" s="259"/>
      <c r="AF33" s="259"/>
      <c r="AG33" s="259"/>
      <c r="AH33" s="259"/>
      <c r="AI33" s="259"/>
      <c r="AJ33" s="259"/>
      <c r="AK33" s="259"/>
      <c r="AL33" s="259"/>
      <c r="AM33" s="259"/>
      <c r="AN33" s="259"/>
      <c r="AO33" s="259"/>
      <c r="AP33" s="259"/>
      <c r="AQ33" s="259"/>
      <c r="AR33" s="259"/>
      <c r="AS33" s="259"/>
      <c r="AT33" s="259"/>
      <c r="AU33" s="259"/>
      <c r="AV33" s="259"/>
      <c r="AW33" s="259"/>
      <c r="AX33" s="259"/>
      <c r="AY33" s="259"/>
      <c r="AZ33" s="260"/>
      <c r="BA33" s="260"/>
      <c r="BB33" s="261">
        <f t="shared" ref="BB33:BB53" si="2">SUM(B33:BA33)</f>
        <v>23</v>
      </c>
    </row>
    <row r="34" ht="15.0" customHeight="1">
      <c r="A34" s="22" t="s">
        <v>120</v>
      </c>
      <c r="B34" s="259"/>
      <c r="C34" s="259">
        <v>1.0</v>
      </c>
      <c r="D34" s="259"/>
      <c r="E34" s="259"/>
      <c r="F34" s="259"/>
      <c r="G34" s="259"/>
      <c r="H34" s="259">
        <v>1.0</v>
      </c>
      <c r="I34" s="259">
        <v>1.0</v>
      </c>
      <c r="J34" s="259"/>
      <c r="K34" s="259"/>
      <c r="L34" s="259"/>
      <c r="M34" s="259"/>
      <c r="N34" s="259"/>
      <c r="O34" s="259"/>
      <c r="P34" s="259">
        <v>1.0</v>
      </c>
      <c r="Q34" s="259"/>
      <c r="R34" s="259"/>
      <c r="S34" s="259"/>
      <c r="T34" s="259">
        <v>3.0</v>
      </c>
      <c r="U34" s="259">
        <v>1.0</v>
      </c>
      <c r="V34" s="259"/>
      <c r="W34" s="259"/>
      <c r="X34" s="259">
        <v>2.0</v>
      </c>
      <c r="Y34" s="259">
        <v>1.0</v>
      </c>
      <c r="Z34" s="259">
        <v>1.0</v>
      </c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59"/>
      <c r="AL34" s="259"/>
      <c r="AM34" s="259"/>
      <c r="AN34" s="259"/>
      <c r="AO34" s="259"/>
      <c r="AP34" s="259"/>
      <c r="AQ34" s="259"/>
      <c r="AR34" s="259"/>
      <c r="AS34" s="259"/>
      <c r="AT34" s="259"/>
      <c r="AU34" s="259"/>
      <c r="AV34" s="259"/>
      <c r="AW34" s="259"/>
      <c r="AX34" s="259"/>
      <c r="AY34" s="259"/>
      <c r="AZ34" s="260"/>
      <c r="BA34" s="260"/>
      <c r="BB34" s="261">
        <f t="shared" si="2"/>
        <v>12</v>
      </c>
    </row>
    <row r="35" ht="15.0" customHeight="1">
      <c r="A35" s="22" t="s">
        <v>18</v>
      </c>
      <c r="B35" s="259">
        <v>1.0</v>
      </c>
      <c r="C35" s="259"/>
      <c r="D35" s="259"/>
      <c r="E35" s="259"/>
      <c r="F35" s="259">
        <v>1.0</v>
      </c>
      <c r="G35" s="259"/>
      <c r="H35" s="259">
        <v>1.0</v>
      </c>
      <c r="I35" s="259"/>
      <c r="J35" s="259"/>
      <c r="K35" s="259">
        <v>1.0</v>
      </c>
      <c r="L35" s="259"/>
      <c r="M35" s="259"/>
      <c r="N35" s="259"/>
      <c r="O35" s="259"/>
      <c r="P35" s="259"/>
      <c r="Q35" s="259"/>
      <c r="R35" s="259"/>
      <c r="S35" s="259"/>
      <c r="T35" s="259"/>
      <c r="U35" s="259"/>
      <c r="V35" s="259"/>
      <c r="W35" s="259">
        <v>1.0</v>
      </c>
      <c r="X35" s="259">
        <v>1.0</v>
      </c>
      <c r="Y35" s="259">
        <v>1.0</v>
      </c>
      <c r="Z35" s="259">
        <v>1.0</v>
      </c>
      <c r="AA35" s="259"/>
      <c r="AB35" s="259"/>
      <c r="AC35" s="259"/>
      <c r="AD35" s="259"/>
      <c r="AE35" s="259"/>
      <c r="AF35" s="259"/>
      <c r="AG35" s="259"/>
      <c r="AH35" s="259"/>
      <c r="AI35" s="259"/>
      <c r="AJ35" s="259"/>
      <c r="AK35" s="259"/>
      <c r="AL35" s="259"/>
      <c r="AM35" s="259"/>
      <c r="AN35" s="259"/>
      <c r="AO35" s="259"/>
      <c r="AP35" s="259"/>
      <c r="AQ35" s="259"/>
      <c r="AR35" s="259"/>
      <c r="AS35" s="259"/>
      <c r="AT35" s="259"/>
      <c r="AU35" s="259"/>
      <c r="AV35" s="259"/>
      <c r="AW35" s="259"/>
      <c r="AX35" s="259"/>
      <c r="AY35" s="259"/>
      <c r="AZ35" s="260"/>
      <c r="BA35" s="260"/>
      <c r="BB35" s="261">
        <f t="shared" si="2"/>
        <v>8</v>
      </c>
    </row>
    <row r="36" ht="15.0" customHeight="1">
      <c r="A36" s="22" t="s">
        <v>7</v>
      </c>
      <c r="B36" s="259"/>
      <c r="C36" s="259"/>
      <c r="D36" s="259">
        <v>1.0</v>
      </c>
      <c r="E36" s="259"/>
      <c r="F36" s="259"/>
      <c r="G36" s="259">
        <v>2.0</v>
      </c>
      <c r="H36" s="259"/>
      <c r="I36" s="259"/>
      <c r="J36" s="259">
        <v>2.0</v>
      </c>
      <c r="K36" s="259">
        <v>1.0</v>
      </c>
      <c r="L36" s="259">
        <v>2.0</v>
      </c>
      <c r="M36" s="259">
        <v>1.0</v>
      </c>
      <c r="N36" s="259">
        <v>1.0</v>
      </c>
      <c r="O36" s="259">
        <v>1.0</v>
      </c>
      <c r="P36" s="259"/>
      <c r="Q36" s="259">
        <v>3.0</v>
      </c>
      <c r="R36" s="259"/>
      <c r="S36" s="259">
        <v>1.0</v>
      </c>
      <c r="T36" s="259"/>
      <c r="U36" s="259"/>
      <c r="V36" s="259"/>
      <c r="W36" s="259"/>
      <c r="X36" s="259"/>
      <c r="Y36" s="259"/>
      <c r="Z36" s="259">
        <v>1.0</v>
      </c>
      <c r="AA36" s="259">
        <v>1.0</v>
      </c>
      <c r="AB36" s="259"/>
      <c r="AC36" s="259"/>
      <c r="AD36" s="259"/>
      <c r="AE36" s="259"/>
      <c r="AF36" s="259"/>
      <c r="AG36" s="259"/>
      <c r="AH36" s="259"/>
      <c r="AI36" s="259"/>
      <c r="AJ36" s="259"/>
      <c r="AK36" s="259"/>
      <c r="AL36" s="259"/>
      <c r="AM36" s="259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60"/>
      <c r="BA36" s="260"/>
      <c r="BB36" s="261">
        <f t="shared" si="2"/>
        <v>17</v>
      </c>
    </row>
    <row r="37" ht="15.0" customHeight="1">
      <c r="A37" s="22" t="s">
        <v>17</v>
      </c>
      <c r="B37" s="259">
        <v>1.0</v>
      </c>
      <c r="C37" s="259"/>
      <c r="D37" s="259">
        <v>1.0</v>
      </c>
      <c r="E37" s="259">
        <v>1.0</v>
      </c>
      <c r="F37" s="259"/>
      <c r="G37" s="259">
        <v>2.0</v>
      </c>
      <c r="H37" s="259">
        <v>1.0</v>
      </c>
      <c r="I37" s="259"/>
      <c r="J37" s="259"/>
      <c r="K37" s="259">
        <v>1.0</v>
      </c>
      <c r="L37" s="259">
        <v>1.0</v>
      </c>
      <c r="M37" s="259">
        <v>2.0</v>
      </c>
      <c r="N37" s="259"/>
      <c r="O37" s="259"/>
      <c r="P37" s="259">
        <v>4.0</v>
      </c>
      <c r="Q37" s="259">
        <v>1.0</v>
      </c>
      <c r="R37" s="259"/>
      <c r="S37" s="259">
        <v>2.0</v>
      </c>
      <c r="T37" s="259"/>
      <c r="U37" s="259">
        <v>1.0</v>
      </c>
      <c r="V37" s="259"/>
      <c r="W37" s="259">
        <v>1.0</v>
      </c>
      <c r="X37" s="259">
        <v>2.0</v>
      </c>
      <c r="Y37" s="259">
        <v>1.0</v>
      </c>
      <c r="Z37" s="259"/>
      <c r="AA37" s="259"/>
      <c r="AB37" s="259"/>
      <c r="AC37" s="259"/>
      <c r="AD37" s="259"/>
      <c r="AE37" s="259"/>
      <c r="AF37" s="259"/>
      <c r="AG37" s="259"/>
      <c r="AH37" s="259"/>
      <c r="AI37" s="259"/>
      <c r="AJ37" s="259"/>
      <c r="AK37" s="259"/>
      <c r="AL37" s="259"/>
      <c r="AM37" s="259"/>
      <c r="AN37" s="259"/>
      <c r="AO37" s="259"/>
      <c r="AP37" s="259"/>
      <c r="AQ37" s="259"/>
      <c r="AR37" s="259"/>
      <c r="AS37" s="259"/>
      <c r="AT37" s="259"/>
      <c r="AU37" s="259"/>
      <c r="AV37" s="259"/>
      <c r="AW37" s="259"/>
      <c r="AX37" s="259"/>
      <c r="AY37" s="259"/>
      <c r="AZ37" s="260"/>
      <c r="BA37" s="260"/>
      <c r="BB37" s="261">
        <f t="shared" si="2"/>
        <v>22</v>
      </c>
    </row>
    <row r="38" ht="15.0" customHeight="1">
      <c r="A38" s="22" t="s">
        <v>20</v>
      </c>
      <c r="B38" s="262"/>
      <c r="C38" s="262">
        <v>2.0</v>
      </c>
      <c r="D38" s="259">
        <v>1.0</v>
      </c>
      <c r="E38" s="259"/>
      <c r="F38" s="259"/>
      <c r="G38" s="259"/>
      <c r="H38" s="259"/>
      <c r="I38" s="259"/>
      <c r="J38" s="259"/>
      <c r="K38" s="259"/>
      <c r="L38" s="259"/>
      <c r="M38" s="259"/>
      <c r="N38" s="259"/>
      <c r="O38" s="259"/>
      <c r="P38" s="259"/>
      <c r="Q38" s="259"/>
      <c r="R38" s="259"/>
      <c r="S38" s="259"/>
      <c r="T38" s="259"/>
      <c r="U38" s="259">
        <v>2.0</v>
      </c>
      <c r="V38" s="259"/>
      <c r="W38" s="259"/>
      <c r="X38" s="259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259"/>
      <c r="AP38" s="259"/>
      <c r="AQ38" s="259"/>
      <c r="AR38" s="259"/>
      <c r="AS38" s="259"/>
      <c r="AT38" s="259"/>
      <c r="AU38" s="259"/>
      <c r="AV38" s="259"/>
      <c r="AW38" s="259"/>
      <c r="AX38" s="259"/>
      <c r="AY38" s="259"/>
      <c r="AZ38" s="260"/>
      <c r="BA38" s="260"/>
      <c r="BB38" s="261">
        <f t="shared" si="2"/>
        <v>5</v>
      </c>
    </row>
    <row r="39" ht="15.0" customHeight="1">
      <c r="A39" s="22" t="s">
        <v>278</v>
      </c>
      <c r="B39" s="262">
        <v>1.0</v>
      </c>
      <c r="C39" s="262"/>
      <c r="D39" s="259">
        <v>2.0</v>
      </c>
      <c r="E39" s="259">
        <v>2.0</v>
      </c>
      <c r="F39" s="259">
        <v>3.0</v>
      </c>
      <c r="G39" s="259">
        <v>2.0</v>
      </c>
      <c r="H39" s="259">
        <v>2.0</v>
      </c>
      <c r="I39" s="259">
        <v>2.0</v>
      </c>
      <c r="J39" s="259">
        <v>1.0</v>
      </c>
      <c r="K39" s="259">
        <v>2.0</v>
      </c>
      <c r="L39" s="259">
        <v>1.0</v>
      </c>
      <c r="M39" s="259"/>
      <c r="N39" s="259"/>
      <c r="O39" s="259"/>
      <c r="P39" s="259"/>
      <c r="Q39" s="259"/>
      <c r="R39" s="259"/>
      <c r="S39" s="259"/>
      <c r="T39" s="259">
        <v>5.0</v>
      </c>
      <c r="U39" s="259">
        <v>2.0</v>
      </c>
      <c r="V39" s="259">
        <v>1.0</v>
      </c>
      <c r="W39" s="259"/>
      <c r="X39" s="259">
        <v>4.0</v>
      </c>
      <c r="Y39" s="259"/>
      <c r="Z39" s="259"/>
      <c r="AA39" s="259"/>
      <c r="AB39" s="259"/>
      <c r="AC39" s="259"/>
      <c r="AD39" s="259"/>
      <c r="AE39" s="259"/>
      <c r="AF39" s="259"/>
      <c r="AG39" s="259"/>
      <c r="AH39" s="259"/>
      <c r="AI39" s="259"/>
      <c r="AJ39" s="259"/>
      <c r="AK39" s="259"/>
      <c r="AL39" s="259"/>
      <c r="AM39" s="259"/>
      <c r="AN39" s="259"/>
      <c r="AO39" s="259"/>
      <c r="AP39" s="259"/>
      <c r="AQ39" s="259"/>
      <c r="AR39" s="259"/>
      <c r="AS39" s="259"/>
      <c r="AT39" s="259"/>
      <c r="AU39" s="259"/>
      <c r="AV39" s="259"/>
      <c r="AW39" s="259"/>
      <c r="AX39" s="259"/>
      <c r="AY39" s="259"/>
      <c r="AZ39" s="260"/>
      <c r="BA39" s="260"/>
      <c r="BB39" s="261">
        <f t="shared" si="2"/>
        <v>30</v>
      </c>
    </row>
    <row r="40" ht="15.0" customHeight="1">
      <c r="A40" s="22" t="s">
        <v>166</v>
      </c>
      <c r="B40" s="262">
        <v>1.0</v>
      </c>
      <c r="C40" s="262"/>
      <c r="D40" s="259">
        <v>1.0</v>
      </c>
      <c r="E40" s="259">
        <v>3.0</v>
      </c>
      <c r="F40" s="259">
        <v>2.0</v>
      </c>
      <c r="G40" s="259"/>
      <c r="H40" s="259"/>
      <c r="I40" s="259"/>
      <c r="J40" s="259">
        <v>2.0</v>
      </c>
      <c r="K40" s="259"/>
      <c r="L40" s="259"/>
      <c r="M40" s="259">
        <v>1.0</v>
      </c>
      <c r="N40" s="259">
        <v>2.0</v>
      </c>
      <c r="O40" s="259">
        <v>2.0</v>
      </c>
      <c r="P40" s="259">
        <v>3.0</v>
      </c>
      <c r="Q40" s="259">
        <v>1.0</v>
      </c>
      <c r="R40" s="259"/>
      <c r="S40" s="259"/>
      <c r="T40" s="259">
        <v>2.0</v>
      </c>
      <c r="U40" s="259"/>
      <c r="V40" s="259"/>
      <c r="W40" s="259"/>
      <c r="X40" s="259">
        <v>1.0</v>
      </c>
      <c r="Y40" s="259">
        <v>3.0</v>
      </c>
      <c r="Z40" s="259"/>
      <c r="AA40" s="259">
        <v>1.0</v>
      </c>
      <c r="AB40" s="259"/>
      <c r="AC40" s="259"/>
      <c r="AD40" s="259"/>
      <c r="AE40" s="259"/>
      <c r="AF40" s="259"/>
      <c r="AG40" s="259"/>
      <c r="AH40" s="259"/>
      <c r="AI40" s="259"/>
      <c r="AJ40" s="259"/>
      <c r="AK40" s="259"/>
      <c r="AL40" s="259"/>
      <c r="AM40" s="259"/>
      <c r="AN40" s="259"/>
      <c r="AO40" s="259"/>
      <c r="AP40" s="259"/>
      <c r="AQ40" s="259"/>
      <c r="AR40" s="259"/>
      <c r="AS40" s="259"/>
      <c r="AT40" s="259"/>
      <c r="AU40" s="259"/>
      <c r="AV40" s="259"/>
      <c r="AW40" s="259"/>
      <c r="AX40" s="259"/>
      <c r="AY40" s="259"/>
      <c r="AZ40" s="260"/>
      <c r="BA40" s="260"/>
      <c r="BB40" s="261">
        <f t="shared" si="2"/>
        <v>25</v>
      </c>
    </row>
    <row r="41" ht="15.0" customHeight="1">
      <c r="A41" s="22" t="s">
        <v>4</v>
      </c>
      <c r="B41" s="259">
        <v>2.0</v>
      </c>
      <c r="C41" s="259">
        <v>1.0</v>
      </c>
      <c r="D41" s="259"/>
      <c r="E41" s="259"/>
      <c r="F41" s="259"/>
      <c r="G41" s="259"/>
      <c r="H41" s="259"/>
      <c r="I41" s="259"/>
      <c r="J41" s="259">
        <v>1.0</v>
      </c>
      <c r="K41" s="259"/>
      <c r="L41" s="259"/>
      <c r="M41" s="259">
        <v>1.0</v>
      </c>
      <c r="N41" s="259">
        <v>2.0</v>
      </c>
      <c r="O41" s="259">
        <v>3.0</v>
      </c>
      <c r="P41" s="259"/>
      <c r="Q41" s="259"/>
      <c r="R41" s="259"/>
      <c r="S41" s="259"/>
      <c r="T41" s="259">
        <v>4.0</v>
      </c>
      <c r="U41" s="259"/>
      <c r="V41" s="259">
        <v>3.0</v>
      </c>
      <c r="W41" s="259">
        <v>1.0</v>
      </c>
      <c r="X41" s="259"/>
      <c r="Y41" s="259">
        <v>2.0</v>
      </c>
      <c r="Z41" s="259"/>
      <c r="AA41" s="259">
        <v>2.0</v>
      </c>
      <c r="AB41" s="259"/>
      <c r="AC41" s="259"/>
      <c r="AD41" s="259"/>
      <c r="AE41" s="259"/>
      <c r="AF41" s="259"/>
      <c r="AG41" s="259"/>
      <c r="AH41" s="259"/>
      <c r="AI41" s="259"/>
      <c r="AJ41" s="259"/>
      <c r="AK41" s="259"/>
      <c r="AL41" s="259"/>
      <c r="AM41" s="259"/>
      <c r="AN41" s="259"/>
      <c r="AO41" s="259"/>
      <c r="AP41" s="259"/>
      <c r="AQ41" s="259"/>
      <c r="AR41" s="259"/>
      <c r="AS41" s="259"/>
      <c r="AT41" s="259"/>
      <c r="AU41" s="259"/>
      <c r="AV41" s="259"/>
      <c r="AW41" s="259"/>
      <c r="AX41" s="259"/>
      <c r="AY41" s="259"/>
      <c r="AZ41" s="260"/>
      <c r="BA41" s="260"/>
      <c r="BB41" s="261">
        <f t="shared" si="2"/>
        <v>22</v>
      </c>
    </row>
    <row r="42" ht="15.0" customHeight="1">
      <c r="A42" s="22" t="s">
        <v>14</v>
      </c>
      <c r="B42" s="259">
        <v>2.0</v>
      </c>
      <c r="C42" s="259"/>
      <c r="D42" s="259"/>
      <c r="E42" s="259">
        <v>1.0</v>
      </c>
      <c r="F42" s="259">
        <v>3.0</v>
      </c>
      <c r="G42" s="259">
        <v>3.0</v>
      </c>
      <c r="H42" s="259">
        <v>1.0</v>
      </c>
      <c r="I42" s="259"/>
      <c r="J42" s="259">
        <v>1.0</v>
      </c>
      <c r="K42" s="259">
        <v>1.0</v>
      </c>
      <c r="L42" s="259"/>
      <c r="M42" s="259"/>
      <c r="N42" s="259"/>
      <c r="O42" s="259">
        <v>3.0</v>
      </c>
      <c r="P42" s="259">
        <v>1.0</v>
      </c>
      <c r="Q42" s="259"/>
      <c r="R42" s="259"/>
      <c r="S42" s="259"/>
      <c r="T42" s="259"/>
      <c r="U42" s="259"/>
      <c r="V42" s="259"/>
      <c r="W42" s="259"/>
      <c r="X42" s="259"/>
      <c r="Y42" s="259">
        <v>1.0</v>
      </c>
      <c r="Z42" s="259"/>
      <c r="AA42" s="259">
        <v>3.0</v>
      </c>
      <c r="AB42" s="259"/>
      <c r="AC42" s="259"/>
      <c r="AD42" s="259"/>
      <c r="AE42" s="259"/>
      <c r="AF42" s="259"/>
      <c r="AG42" s="259"/>
      <c r="AH42" s="259"/>
      <c r="AI42" s="259"/>
      <c r="AJ42" s="259"/>
      <c r="AK42" s="259"/>
      <c r="AL42" s="259"/>
      <c r="AM42" s="259"/>
      <c r="AN42" s="259"/>
      <c r="AO42" s="259"/>
      <c r="AP42" s="259"/>
      <c r="AQ42" s="259"/>
      <c r="AR42" s="259"/>
      <c r="AS42" s="259"/>
      <c r="AT42" s="259"/>
      <c r="AU42" s="259"/>
      <c r="AV42" s="259"/>
      <c r="AW42" s="259"/>
      <c r="AX42" s="259"/>
      <c r="AY42" s="259"/>
      <c r="AZ42" s="260"/>
      <c r="BA42" s="260"/>
      <c r="BB42" s="261">
        <f t="shared" si="2"/>
        <v>20</v>
      </c>
    </row>
    <row r="43" ht="15.0" customHeight="1">
      <c r="A43" s="22" t="s">
        <v>296</v>
      </c>
      <c r="B43" s="262"/>
      <c r="C43" s="262"/>
      <c r="D43" s="262"/>
      <c r="E43" s="262"/>
      <c r="F43" s="259">
        <v>1.0</v>
      </c>
      <c r="G43" s="259"/>
      <c r="H43" s="259">
        <v>1.0</v>
      </c>
      <c r="I43" s="259"/>
      <c r="J43" s="259"/>
      <c r="K43" s="259"/>
      <c r="L43" s="259"/>
      <c r="M43" s="259">
        <v>1.0</v>
      </c>
      <c r="N43" s="259"/>
      <c r="O43" s="259">
        <v>5.0</v>
      </c>
      <c r="P43" s="259">
        <v>2.0</v>
      </c>
      <c r="Q43" s="259">
        <v>1.0</v>
      </c>
      <c r="R43" s="259"/>
      <c r="S43" s="259"/>
      <c r="T43" s="259">
        <v>6.0</v>
      </c>
      <c r="U43" s="259">
        <v>2.0</v>
      </c>
      <c r="V43" s="259">
        <v>2.0</v>
      </c>
      <c r="W43" s="259"/>
      <c r="X43" s="259"/>
      <c r="Y43" s="259"/>
      <c r="Z43" s="259">
        <v>2.0</v>
      </c>
      <c r="AA43" s="259">
        <v>1.0</v>
      </c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60"/>
      <c r="BA43" s="260"/>
      <c r="BB43" s="261">
        <f t="shared" si="2"/>
        <v>24</v>
      </c>
    </row>
    <row r="44" ht="15.0" customHeight="1">
      <c r="A44" s="22" t="s">
        <v>138</v>
      </c>
      <c r="B44" s="259"/>
      <c r="C44" s="259"/>
      <c r="D44" s="259">
        <v>1.0</v>
      </c>
      <c r="E44" s="259"/>
      <c r="F44" s="259"/>
      <c r="G44" s="259"/>
      <c r="H44" s="259"/>
      <c r="I44" s="259"/>
      <c r="J44" s="259"/>
      <c r="K44" s="259"/>
      <c r="L44" s="259"/>
      <c r="M44" s="259"/>
      <c r="N44" s="259"/>
      <c r="O44" s="259"/>
      <c r="P44" s="259"/>
      <c r="Q44" s="259"/>
      <c r="R44" s="259"/>
      <c r="S44" s="259"/>
      <c r="T44" s="259"/>
      <c r="U44" s="259"/>
      <c r="V44" s="259"/>
      <c r="W44" s="259"/>
      <c r="X44" s="259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59"/>
      <c r="AL44" s="259"/>
      <c r="AM44" s="259"/>
      <c r="AN44" s="259"/>
      <c r="AO44" s="259"/>
      <c r="AP44" s="259"/>
      <c r="AQ44" s="259"/>
      <c r="AR44" s="259"/>
      <c r="AS44" s="259"/>
      <c r="AT44" s="259"/>
      <c r="AU44" s="259"/>
      <c r="AV44" s="259"/>
      <c r="AW44" s="259"/>
      <c r="AX44" s="259"/>
      <c r="AY44" s="259"/>
      <c r="AZ44" s="260"/>
      <c r="BA44" s="260"/>
      <c r="BB44" s="261">
        <f t="shared" si="2"/>
        <v>1</v>
      </c>
    </row>
    <row r="45" ht="15.0" customHeight="1">
      <c r="A45" s="22" t="s">
        <v>359</v>
      </c>
      <c r="B45" s="259"/>
      <c r="C45" s="259"/>
      <c r="D45" s="259"/>
      <c r="E45" s="259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>
        <v>1.0</v>
      </c>
      <c r="Y45" s="259"/>
      <c r="Z45" s="259"/>
      <c r="AA45" s="259"/>
      <c r="AB45" s="259"/>
      <c r="AC45" s="259"/>
      <c r="AD45" s="259"/>
      <c r="AE45" s="259"/>
      <c r="AF45" s="259"/>
      <c r="AG45" s="259"/>
      <c r="AH45" s="259"/>
      <c r="AI45" s="259"/>
      <c r="AJ45" s="259"/>
      <c r="AK45" s="259"/>
      <c r="AL45" s="259"/>
      <c r="AM45" s="259"/>
      <c r="AN45" s="259"/>
      <c r="AO45" s="259"/>
      <c r="AP45" s="259"/>
      <c r="AQ45" s="259"/>
      <c r="AR45" s="259"/>
      <c r="AS45" s="259"/>
      <c r="AT45" s="259"/>
      <c r="AU45" s="259"/>
      <c r="AV45" s="259"/>
      <c r="AW45" s="259"/>
      <c r="AX45" s="259"/>
      <c r="AY45" s="259"/>
      <c r="AZ45" s="260"/>
      <c r="BA45" s="260"/>
      <c r="BB45" s="261">
        <f t="shared" si="2"/>
        <v>1</v>
      </c>
    </row>
    <row r="46" ht="15.0" customHeight="1">
      <c r="A46" s="22" t="s">
        <v>210</v>
      </c>
      <c r="B46" s="262"/>
      <c r="C46" s="259"/>
      <c r="D46" s="259"/>
      <c r="E46" s="259"/>
      <c r="F46" s="259"/>
      <c r="G46" s="259"/>
      <c r="H46" s="259"/>
      <c r="I46" s="259"/>
      <c r="J46" s="259"/>
      <c r="K46" s="259"/>
      <c r="L46" s="259"/>
      <c r="M46" s="259"/>
      <c r="N46" s="259"/>
      <c r="O46" s="259"/>
      <c r="P46" s="259"/>
      <c r="Q46" s="259"/>
      <c r="R46" s="259"/>
      <c r="S46" s="259"/>
      <c r="T46" s="259"/>
      <c r="U46" s="259"/>
      <c r="V46" s="259"/>
      <c r="W46" s="259"/>
      <c r="X46" s="259"/>
      <c r="Y46" s="259"/>
      <c r="Z46" s="259"/>
      <c r="AA46" s="259"/>
      <c r="AB46" s="259"/>
      <c r="AC46" s="259"/>
      <c r="AD46" s="259"/>
      <c r="AE46" s="259"/>
      <c r="AF46" s="259"/>
      <c r="AG46" s="259"/>
      <c r="AH46" s="259"/>
      <c r="AI46" s="259"/>
      <c r="AJ46" s="259"/>
      <c r="AK46" s="259"/>
      <c r="AL46" s="259"/>
      <c r="AM46" s="259"/>
      <c r="AN46" s="259"/>
      <c r="AO46" s="259"/>
      <c r="AP46" s="259"/>
      <c r="AQ46" s="259"/>
      <c r="AR46" s="259"/>
      <c r="AS46" s="259"/>
      <c r="AT46" s="259"/>
      <c r="AU46" s="259"/>
      <c r="AV46" s="259"/>
      <c r="AW46" s="259"/>
      <c r="AX46" s="259"/>
      <c r="AY46" s="259"/>
      <c r="AZ46" s="260"/>
      <c r="BA46" s="260"/>
      <c r="BB46" s="261">
        <f t="shared" si="2"/>
        <v>0</v>
      </c>
    </row>
    <row r="47" ht="15.0" customHeight="1">
      <c r="A47" s="22" t="s">
        <v>211</v>
      </c>
      <c r="B47" s="259"/>
      <c r="C47" s="259"/>
      <c r="D47" s="259"/>
      <c r="E47" s="259">
        <v>1.0</v>
      </c>
      <c r="F47" s="259"/>
      <c r="G47" s="259"/>
      <c r="H47" s="259"/>
      <c r="I47" s="259"/>
      <c r="J47" s="259"/>
      <c r="K47" s="259"/>
      <c r="L47" s="259"/>
      <c r="M47" s="259"/>
      <c r="N47" s="259"/>
      <c r="O47" s="259"/>
      <c r="P47" s="259"/>
      <c r="Q47" s="259"/>
      <c r="R47" s="259"/>
      <c r="S47" s="259">
        <v>2.0</v>
      </c>
      <c r="T47" s="259"/>
      <c r="U47" s="259"/>
      <c r="V47" s="259"/>
      <c r="W47" s="259"/>
      <c r="X47" s="259"/>
      <c r="Y47" s="259"/>
      <c r="Z47" s="259"/>
      <c r="AA47" s="259"/>
      <c r="AB47" s="259"/>
      <c r="AC47" s="259"/>
      <c r="AD47" s="259"/>
      <c r="AE47" s="259"/>
      <c r="AF47" s="259"/>
      <c r="AG47" s="259"/>
      <c r="AH47" s="259"/>
      <c r="AI47" s="259"/>
      <c r="AJ47" s="259"/>
      <c r="AK47" s="259"/>
      <c r="AL47" s="259"/>
      <c r="AM47" s="259"/>
      <c r="AN47" s="259"/>
      <c r="AO47" s="259"/>
      <c r="AP47" s="259"/>
      <c r="AQ47" s="259"/>
      <c r="AR47" s="259"/>
      <c r="AS47" s="259"/>
      <c r="AT47" s="259"/>
      <c r="AU47" s="259"/>
      <c r="AV47" s="259"/>
      <c r="AW47" s="259"/>
      <c r="AX47" s="259"/>
      <c r="AY47" s="259"/>
      <c r="AZ47" s="260"/>
      <c r="BA47" s="260"/>
      <c r="BB47" s="261">
        <f t="shared" si="2"/>
        <v>3</v>
      </c>
    </row>
    <row r="48" ht="15.0" customHeight="1">
      <c r="A48" s="22" t="s">
        <v>417</v>
      </c>
      <c r="B48" s="259"/>
      <c r="C48" s="259"/>
      <c r="D48" s="259">
        <v>2.0</v>
      </c>
      <c r="E48" s="259"/>
      <c r="F48" s="259">
        <v>1.0</v>
      </c>
      <c r="G48" s="259"/>
      <c r="H48" s="259"/>
      <c r="I48" s="259"/>
      <c r="J48" s="259">
        <v>4.0</v>
      </c>
      <c r="K48" s="259">
        <v>2.0</v>
      </c>
      <c r="L48" s="259"/>
      <c r="M48" s="259"/>
      <c r="N48" s="259">
        <v>1.0</v>
      </c>
      <c r="O48" s="259"/>
      <c r="P48" s="259"/>
      <c r="Q48" s="259">
        <v>2.0</v>
      </c>
      <c r="R48" s="259"/>
      <c r="S48" s="259">
        <v>2.0</v>
      </c>
      <c r="T48" s="259">
        <v>2.0</v>
      </c>
      <c r="U48" s="259">
        <v>2.0</v>
      </c>
      <c r="V48" s="259"/>
      <c r="W48" s="259">
        <v>2.0</v>
      </c>
      <c r="X48" s="259"/>
      <c r="Y48" s="259">
        <v>1.0</v>
      </c>
      <c r="Z48" s="259"/>
      <c r="AA48" s="259"/>
      <c r="AB48" s="259"/>
      <c r="AC48" s="259"/>
      <c r="AD48" s="259"/>
      <c r="AE48" s="259"/>
      <c r="AF48" s="259"/>
      <c r="AG48" s="259"/>
      <c r="AH48" s="259"/>
      <c r="AI48" s="259"/>
      <c r="AJ48" s="259"/>
      <c r="AK48" s="259"/>
      <c r="AL48" s="259"/>
      <c r="AM48" s="259"/>
      <c r="AN48" s="259"/>
      <c r="AO48" s="259"/>
      <c r="AP48" s="259"/>
      <c r="AQ48" s="259"/>
      <c r="AR48" s="259"/>
      <c r="AS48" s="259"/>
      <c r="AT48" s="259"/>
      <c r="AU48" s="259"/>
      <c r="AV48" s="259"/>
      <c r="AW48" s="259"/>
      <c r="AX48" s="259"/>
      <c r="AY48" s="259"/>
      <c r="AZ48" s="260"/>
      <c r="BA48" s="260"/>
      <c r="BB48" s="261">
        <f t="shared" si="2"/>
        <v>21</v>
      </c>
    </row>
    <row r="49" ht="15.0" customHeight="1">
      <c r="A49" s="22" t="s">
        <v>263</v>
      </c>
      <c r="B49" s="259"/>
      <c r="C49" s="259"/>
      <c r="D49" s="259"/>
      <c r="E49" s="259"/>
      <c r="F49" s="259"/>
      <c r="G49" s="259">
        <v>2.0</v>
      </c>
      <c r="H49" s="259"/>
      <c r="I49" s="259"/>
      <c r="J49" s="259">
        <v>1.0</v>
      </c>
      <c r="K49" s="259"/>
      <c r="L49" s="259">
        <v>1.0</v>
      </c>
      <c r="M49" s="259"/>
      <c r="N49" s="259">
        <v>1.0</v>
      </c>
      <c r="O49" s="259"/>
      <c r="P49" s="259"/>
      <c r="Q49" s="259"/>
      <c r="R49" s="259"/>
      <c r="S49" s="259"/>
      <c r="T49" s="259"/>
      <c r="U49" s="259">
        <v>3.0</v>
      </c>
      <c r="V49" s="259"/>
      <c r="W49" s="259"/>
      <c r="X49" s="259">
        <v>2.0</v>
      </c>
      <c r="Y49" s="259"/>
      <c r="Z49" s="259"/>
      <c r="AA49" s="259"/>
      <c r="AB49" s="259"/>
      <c r="AC49" s="259"/>
      <c r="AD49" s="259"/>
      <c r="AE49" s="259"/>
      <c r="AF49" s="259"/>
      <c r="AG49" s="259"/>
      <c r="AH49" s="259"/>
      <c r="AI49" s="259"/>
      <c r="AJ49" s="259"/>
      <c r="AK49" s="259"/>
      <c r="AL49" s="259"/>
      <c r="AM49" s="259"/>
      <c r="AN49" s="259"/>
      <c r="AO49" s="259"/>
      <c r="AP49" s="259"/>
      <c r="AQ49" s="259"/>
      <c r="AR49" s="259"/>
      <c r="AS49" s="259"/>
      <c r="AT49" s="259"/>
      <c r="AU49" s="259"/>
      <c r="AV49" s="259"/>
      <c r="AW49" s="259"/>
      <c r="AX49" s="259"/>
      <c r="AY49" s="259"/>
      <c r="AZ49" s="260"/>
      <c r="BA49" s="260"/>
      <c r="BB49" s="261">
        <f t="shared" si="2"/>
        <v>10</v>
      </c>
    </row>
    <row r="50" ht="15.0" customHeight="1">
      <c r="A50" s="22" t="s">
        <v>11</v>
      </c>
      <c r="B50" s="259"/>
      <c r="C50" s="259"/>
      <c r="D50" s="259"/>
      <c r="E50" s="259"/>
      <c r="F50" s="259"/>
      <c r="G50" s="259"/>
      <c r="H50" s="259"/>
      <c r="I50" s="259">
        <v>2.0</v>
      </c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X50" s="259"/>
      <c r="Y50" s="259"/>
      <c r="Z50" s="259"/>
      <c r="AA50" s="259"/>
      <c r="AB50" s="259"/>
      <c r="AC50" s="259"/>
      <c r="AD50" s="259"/>
      <c r="AE50" s="259"/>
      <c r="AF50" s="259"/>
      <c r="AG50" s="259"/>
      <c r="AH50" s="259"/>
      <c r="AI50" s="259"/>
      <c r="AJ50" s="259"/>
      <c r="AK50" s="259"/>
      <c r="AL50" s="259"/>
      <c r="AM50" s="259"/>
      <c r="AN50" s="259"/>
      <c r="AO50" s="259"/>
      <c r="AP50" s="259"/>
      <c r="AQ50" s="259"/>
      <c r="AR50" s="259"/>
      <c r="AS50" s="259"/>
      <c r="AT50" s="259"/>
      <c r="AU50" s="259"/>
      <c r="AV50" s="259"/>
      <c r="AW50" s="259"/>
      <c r="AX50" s="259"/>
      <c r="AY50" s="259"/>
      <c r="AZ50" s="260"/>
      <c r="BA50" s="260"/>
      <c r="BB50" s="261">
        <f t="shared" si="2"/>
        <v>2</v>
      </c>
    </row>
    <row r="51" ht="15.0" customHeight="1">
      <c r="A51" s="22" t="s">
        <v>418</v>
      </c>
      <c r="B51" s="259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59"/>
      <c r="W51" s="259">
        <v>1.0</v>
      </c>
      <c r="X51" s="259"/>
      <c r="Y51" s="259"/>
      <c r="Z51" s="259"/>
      <c r="AA51" s="259"/>
      <c r="AB51" s="259"/>
      <c r="AC51" s="259"/>
      <c r="AD51" s="259"/>
      <c r="AE51" s="259"/>
      <c r="AF51" s="259"/>
      <c r="AG51" s="259"/>
      <c r="AH51" s="259"/>
      <c r="AI51" s="259"/>
      <c r="AJ51" s="259"/>
      <c r="AK51" s="259"/>
      <c r="AL51" s="259"/>
      <c r="AM51" s="259"/>
      <c r="AN51" s="259"/>
      <c r="AO51" s="259"/>
      <c r="AP51" s="259"/>
      <c r="AQ51" s="259"/>
      <c r="AR51" s="259"/>
      <c r="AS51" s="259"/>
      <c r="AT51" s="259"/>
      <c r="AU51" s="259"/>
      <c r="AV51" s="259"/>
      <c r="AW51" s="259"/>
      <c r="AX51" s="259"/>
      <c r="AY51" s="259"/>
      <c r="AZ51" s="260"/>
      <c r="BA51" s="260"/>
      <c r="BB51" s="261">
        <f t="shared" si="2"/>
        <v>1</v>
      </c>
    </row>
    <row r="52" ht="15.0" customHeight="1">
      <c r="A52" s="22" t="s">
        <v>376</v>
      </c>
      <c r="B52" s="259"/>
      <c r="C52" s="259"/>
      <c r="D52" s="259">
        <v>2.0</v>
      </c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59"/>
      <c r="W52" s="259"/>
      <c r="X52" s="259"/>
      <c r="Y52" s="259"/>
      <c r="Z52" s="259"/>
      <c r="AA52" s="259"/>
      <c r="AB52" s="259"/>
      <c r="AC52" s="259"/>
      <c r="AD52" s="259"/>
      <c r="AE52" s="259"/>
      <c r="AF52" s="259"/>
      <c r="AG52" s="259"/>
      <c r="AH52" s="259"/>
      <c r="AI52" s="259"/>
      <c r="AJ52" s="259"/>
      <c r="AK52" s="259"/>
      <c r="AL52" s="259"/>
      <c r="AM52" s="259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60"/>
      <c r="BA52" s="260"/>
      <c r="BB52" s="261">
        <f t="shared" si="2"/>
        <v>2</v>
      </c>
    </row>
    <row r="53" ht="15.0" customHeight="1">
      <c r="A53" s="22" t="s">
        <v>384</v>
      </c>
      <c r="B53" s="259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>
        <v>2.0</v>
      </c>
      <c r="O53" s="259"/>
      <c r="P53" s="259"/>
      <c r="Q53" s="259"/>
      <c r="R53" s="259"/>
      <c r="S53" s="259"/>
      <c r="T53" s="259"/>
      <c r="U53" s="259"/>
      <c r="V53" s="259"/>
      <c r="W53" s="259"/>
      <c r="X53" s="259"/>
      <c r="Y53" s="259"/>
      <c r="Z53" s="259"/>
      <c r="AA53" s="259"/>
      <c r="AB53" s="259"/>
      <c r="AC53" s="259"/>
      <c r="AD53" s="259"/>
      <c r="AE53" s="259"/>
      <c r="AF53" s="259"/>
      <c r="AG53" s="259"/>
      <c r="AH53" s="259"/>
      <c r="AI53" s="259"/>
      <c r="AJ53" s="259"/>
      <c r="AK53" s="259"/>
      <c r="AL53" s="259"/>
      <c r="AM53" s="259"/>
      <c r="AN53" s="259"/>
      <c r="AO53" s="259"/>
      <c r="AP53" s="259"/>
      <c r="AQ53" s="259"/>
      <c r="AR53" s="259"/>
      <c r="AS53" s="259"/>
      <c r="AT53" s="259"/>
      <c r="AU53" s="259"/>
      <c r="AV53" s="259"/>
      <c r="AW53" s="259"/>
      <c r="AX53" s="259"/>
      <c r="AY53" s="259"/>
      <c r="AZ53" s="260"/>
      <c r="BA53" s="260"/>
      <c r="BB53" s="261">
        <f t="shared" si="2"/>
        <v>2</v>
      </c>
    </row>
    <row r="54" ht="15.0" customHeight="1">
      <c r="A54" s="22" t="s">
        <v>259</v>
      </c>
      <c r="B54" s="259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>
        <v>3.0</v>
      </c>
      <c r="X54" s="259"/>
      <c r="Y54" s="259"/>
      <c r="Z54" s="259"/>
      <c r="AA54" s="259"/>
      <c r="AB54" s="259"/>
      <c r="AC54" s="259"/>
      <c r="AD54" s="259"/>
      <c r="AE54" s="259"/>
      <c r="AF54" s="259"/>
      <c r="AG54" s="259"/>
      <c r="AH54" s="259"/>
      <c r="AI54" s="259"/>
      <c r="AJ54" s="259"/>
      <c r="AK54" s="259"/>
      <c r="AL54" s="259"/>
      <c r="AM54" s="259"/>
      <c r="AN54" s="259"/>
      <c r="AO54" s="259"/>
      <c r="AP54" s="259"/>
      <c r="AQ54" s="259"/>
      <c r="AR54" s="259"/>
      <c r="AS54" s="259"/>
      <c r="AT54" s="259"/>
      <c r="AU54" s="259"/>
      <c r="AV54" s="259"/>
      <c r="AW54" s="259"/>
      <c r="AX54" s="259"/>
      <c r="AY54" s="259"/>
      <c r="AZ54" s="260"/>
      <c r="BA54" s="260"/>
      <c r="BB54" s="261">
        <f t="shared" ref="BB54:BB57" si="3">B54+C54+D54+E54+F54+G54+H54+I54+J54+K54+L54+M54+N54+O54+P54+Q54+R54+S54+T54+U54+V54+W54+X54+Y54+Z54+AA54+AB54+AC54+AD54+AE54+AF54+AG54+AH54+AI54+AJ54+AK54+AL54+AM54+AN54+AO54+AP54+AQ54+AR54+AS54+AT54+AU54+AV54+AW54+AX54+AY54+AZ54+BA54</f>
        <v>3</v>
      </c>
    </row>
    <row r="55" ht="15.0" customHeight="1">
      <c r="A55" s="22"/>
      <c r="B55" s="259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59"/>
      <c r="W55" s="259"/>
      <c r="X55" s="259"/>
      <c r="Y55" s="259"/>
      <c r="Z55" s="259"/>
      <c r="AA55" s="259"/>
      <c r="AB55" s="259"/>
      <c r="AC55" s="259"/>
      <c r="AD55" s="259"/>
      <c r="AE55" s="259"/>
      <c r="AF55" s="259"/>
      <c r="AG55" s="259"/>
      <c r="AH55" s="259"/>
      <c r="AI55" s="259"/>
      <c r="AJ55" s="259"/>
      <c r="AK55" s="259"/>
      <c r="AL55" s="259"/>
      <c r="AM55" s="259"/>
      <c r="AN55" s="259"/>
      <c r="AO55" s="259"/>
      <c r="AP55" s="259"/>
      <c r="AQ55" s="259"/>
      <c r="AR55" s="259"/>
      <c r="AS55" s="259"/>
      <c r="AT55" s="259"/>
      <c r="AU55" s="259"/>
      <c r="AV55" s="259"/>
      <c r="AW55" s="259"/>
      <c r="AX55" s="259"/>
      <c r="AY55" s="259"/>
      <c r="AZ55" s="260"/>
      <c r="BA55" s="260"/>
      <c r="BB55" s="261">
        <f t="shared" si="3"/>
        <v>0</v>
      </c>
    </row>
    <row r="56" ht="15.0" customHeight="1">
      <c r="A56" s="22"/>
      <c r="B56" s="259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59"/>
      <c r="W56" s="259"/>
      <c r="X56" s="259"/>
      <c r="Y56" s="259"/>
      <c r="Z56" s="259"/>
      <c r="AA56" s="259"/>
      <c r="AB56" s="259"/>
      <c r="AC56" s="259"/>
      <c r="AD56" s="259"/>
      <c r="AE56" s="259"/>
      <c r="AF56" s="259"/>
      <c r="AG56" s="259"/>
      <c r="AH56" s="259"/>
      <c r="AI56" s="259"/>
      <c r="AJ56" s="259"/>
      <c r="AK56" s="259"/>
      <c r="AL56" s="259"/>
      <c r="AM56" s="259"/>
      <c r="AN56" s="259"/>
      <c r="AO56" s="259"/>
      <c r="AP56" s="259"/>
      <c r="AQ56" s="259"/>
      <c r="AR56" s="259"/>
      <c r="AS56" s="259"/>
      <c r="AT56" s="259"/>
      <c r="AU56" s="259"/>
      <c r="AV56" s="259"/>
      <c r="AW56" s="259"/>
      <c r="AX56" s="259"/>
      <c r="AY56" s="259"/>
      <c r="AZ56" s="260"/>
      <c r="BA56" s="260"/>
      <c r="BB56" s="261">
        <f t="shared" si="3"/>
        <v>0</v>
      </c>
    </row>
    <row r="57" ht="15.0" customHeight="1">
      <c r="A57" s="263" t="s">
        <v>180</v>
      </c>
      <c r="B57" s="259"/>
      <c r="C57" s="259"/>
      <c r="D57" s="259"/>
      <c r="E57" s="259"/>
      <c r="F57" s="259"/>
      <c r="G57" s="259">
        <v>1.0</v>
      </c>
      <c r="H57" s="259">
        <v>2.0</v>
      </c>
      <c r="I57" s="259"/>
      <c r="J57" s="259"/>
      <c r="K57" s="259"/>
      <c r="L57" s="259"/>
      <c r="M57" s="259">
        <v>1.0</v>
      </c>
      <c r="N57" s="259"/>
      <c r="O57" s="259">
        <v>1.0</v>
      </c>
      <c r="P57" s="259">
        <v>1.0</v>
      </c>
      <c r="Q57" s="259"/>
      <c r="R57" s="259"/>
      <c r="S57" s="259"/>
      <c r="T57" s="259"/>
      <c r="U57" s="259">
        <v>1.0</v>
      </c>
      <c r="V57" s="259">
        <v>1.0</v>
      </c>
      <c r="W57" s="259"/>
      <c r="X57" s="259"/>
      <c r="Y57" s="259"/>
      <c r="Z57" s="259"/>
      <c r="AA57" s="259"/>
      <c r="AB57" s="259"/>
      <c r="AC57" s="259"/>
      <c r="AD57" s="259"/>
      <c r="AE57" s="259"/>
      <c r="AF57" s="259"/>
      <c r="AG57" s="259"/>
      <c r="AH57" s="259"/>
      <c r="AI57" s="259"/>
      <c r="AJ57" s="259"/>
      <c r="AK57" s="259"/>
      <c r="AL57" s="259"/>
      <c r="AM57" s="259"/>
      <c r="AN57" s="259"/>
      <c r="AO57" s="259"/>
      <c r="AP57" s="259"/>
      <c r="AQ57" s="259"/>
      <c r="AR57" s="259"/>
      <c r="AS57" s="259"/>
      <c r="AT57" s="259"/>
      <c r="AU57" s="259"/>
      <c r="AV57" s="259"/>
      <c r="AW57" s="259"/>
      <c r="AX57" s="259"/>
      <c r="AY57" s="259"/>
      <c r="AZ57" s="260"/>
      <c r="BA57" s="260"/>
      <c r="BB57" s="261">
        <f t="shared" si="3"/>
        <v>8</v>
      </c>
    </row>
    <row r="58" ht="15.0" customHeight="1">
      <c r="A58" s="264" t="s">
        <v>420</v>
      </c>
      <c r="B58" s="83">
        <f t="shared" ref="B58:BB58" si="4">SUM(B33:B57)</f>
        <v>10</v>
      </c>
      <c r="C58" s="265">
        <f t="shared" si="4"/>
        <v>5</v>
      </c>
      <c r="D58" s="265">
        <f t="shared" si="4"/>
        <v>12</v>
      </c>
      <c r="E58" s="265">
        <f t="shared" si="4"/>
        <v>9</v>
      </c>
      <c r="F58" s="266">
        <f t="shared" si="4"/>
        <v>11</v>
      </c>
      <c r="G58" s="265">
        <f t="shared" si="4"/>
        <v>13</v>
      </c>
      <c r="H58" s="265">
        <f t="shared" si="4"/>
        <v>9</v>
      </c>
      <c r="I58" s="265">
        <f t="shared" si="4"/>
        <v>7</v>
      </c>
      <c r="J58" s="266">
        <f t="shared" si="4"/>
        <v>12</v>
      </c>
      <c r="K58" s="265">
        <f t="shared" si="4"/>
        <v>11</v>
      </c>
      <c r="L58" s="265">
        <f t="shared" si="4"/>
        <v>6</v>
      </c>
      <c r="M58" s="265">
        <f t="shared" si="4"/>
        <v>9</v>
      </c>
      <c r="N58" s="266">
        <f t="shared" si="4"/>
        <v>11</v>
      </c>
      <c r="O58" s="265">
        <f t="shared" si="4"/>
        <v>15</v>
      </c>
      <c r="P58" s="265">
        <f t="shared" si="4"/>
        <v>13</v>
      </c>
      <c r="Q58" s="265">
        <f t="shared" si="4"/>
        <v>8</v>
      </c>
      <c r="R58" s="265">
        <f t="shared" si="4"/>
        <v>0</v>
      </c>
      <c r="S58" s="266">
        <f t="shared" si="4"/>
        <v>7</v>
      </c>
      <c r="T58" s="83">
        <f t="shared" si="4"/>
        <v>22</v>
      </c>
      <c r="U58" s="265">
        <f t="shared" si="4"/>
        <v>14</v>
      </c>
      <c r="V58" s="265">
        <f t="shared" si="4"/>
        <v>7</v>
      </c>
      <c r="W58" s="266">
        <f t="shared" si="4"/>
        <v>10</v>
      </c>
      <c r="X58" s="83">
        <f t="shared" si="4"/>
        <v>14</v>
      </c>
      <c r="Y58" s="265">
        <f t="shared" si="4"/>
        <v>11</v>
      </c>
      <c r="Z58" s="265">
        <f t="shared" si="4"/>
        <v>6</v>
      </c>
      <c r="AA58" s="266">
        <f t="shared" si="4"/>
        <v>10</v>
      </c>
      <c r="AB58" s="83">
        <f t="shared" si="4"/>
        <v>0</v>
      </c>
      <c r="AC58" s="265">
        <f t="shared" si="4"/>
        <v>0</v>
      </c>
      <c r="AD58" s="265">
        <f t="shared" si="4"/>
        <v>0</v>
      </c>
      <c r="AE58" s="265">
        <f t="shared" si="4"/>
        <v>0</v>
      </c>
      <c r="AF58" s="266">
        <f t="shared" si="4"/>
        <v>0</v>
      </c>
      <c r="AG58" s="83">
        <f t="shared" si="4"/>
        <v>0</v>
      </c>
      <c r="AH58" s="265">
        <f t="shared" si="4"/>
        <v>0</v>
      </c>
      <c r="AI58" s="265">
        <f t="shared" si="4"/>
        <v>0</v>
      </c>
      <c r="AJ58" s="266">
        <f t="shared" si="4"/>
        <v>0</v>
      </c>
      <c r="AK58" s="83">
        <f t="shared" si="4"/>
        <v>0</v>
      </c>
      <c r="AL58" s="265">
        <f t="shared" si="4"/>
        <v>0</v>
      </c>
      <c r="AM58" s="265">
        <f t="shared" si="4"/>
        <v>0</v>
      </c>
      <c r="AN58" s="266">
        <f t="shared" si="4"/>
        <v>0</v>
      </c>
      <c r="AO58" s="83">
        <f t="shared" si="4"/>
        <v>0</v>
      </c>
      <c r="AP58" s="265">
        <f t="shared" si="4"/>
        <v>0</v>
      </c>
      <c r="AQ58" s="265">
        <f t="shared" si="4"/>
        <v>0</v>
      </c>
      <c r="AR58" s="265">
        <f t="shared" si="4"/>
        <v>0</v>
      </c>
      <c r="AS58" s="266">
        <f t="shared" si="4"/>
        <v>0</v>
      </c>
      <c r="AT58" s="83">
        <f t="shared" si="4"/>
        <v>0</v>
      </c>
      <c r="AU58" s="265">
        <f t="shared" si="4"/>
        <v>0</v>
      </c>
      <c r="AV58" s="265">
        <f t="shared" si="4"/>
        <v>0</v>
      </c>
      <c r="AW58" s="266">
        <f t="shared" si="4"/>
        <v>0</v>
      </c>
      <c r="AX58" s="83">
        <f t="shared" si="4"/>
        <v>0</v>
      </c>
      <c r="AY58" s="265">
        <f t="shared" si="4"/>
        <v>0</v>
      </c>
      <c r="AZ58" s="265">
        <f t="shared" si="4"/>
        <v>0</v>
      </c>
      <c r="BA58" s="266">
        <f t="shared" si="4"/>
        <v>0</v>
      </c>
      <c r="BB58" s="267">
        <f t="shared" si="4"/>
        <v>262</v>
      </c>
      <c r="BC58" s="268">
        <f>SUM(B58:BA58)</f>
        <v>262</v>
      </c>
    </row>
    <row r="59" ht="15.0" customHeight="1">
      <c r="A59" s="264" t="s">
        <v>421</v>
      </c>
      <c r="B59" s="269">
        <f>B58+C58+D58+E58+F58</f>
        <v>47</v>
      </c>
      <c r="C59" s="2"/>
      <c r="D59" s="2"/>
      <c r="E59" s="2"/>
      <c r="F59" s="3"/>
      <c r="G59" s="269">
        <f>G58+H58+I58+J58</f>
        <v>41</v>
      </c>
      <c r="H59" s="2"/>
      <c r="I59" s="2"/>
      <c r="J59" s="3"/>
      <c r="K59" s="270">
        <f>K58+L58+M58+N58</f>
        <v>37</v>
      </c>
      <c r="L59" s="2"/>
      <c r="M59" s="2"/>
      <c r="N59" s="3"/>
      <c r="O59" s="269">
        <f>O58+P58+Q58+R58+S58</f>
        <v>43</v>
      </c>
      <c r="P59" s="2"/>
      <c r="Q59" s="2"/>
      <c r="R59" s="2"/>
      <c r="S59" s="3"/>
      <c r="T59" s="269">
        <f>T58+U58+V58+W58</f>
        <v>53</v>
      </c>
      <c r="U59" s="2"/>
      <c r="V59" s="2"/>
      <c r="W59" s="3"/>
      <c r="X59" s="269">
        <f>X58+Y58+Z58+AA58</f>
        <v>41</v>
      </c>
      <c r="Y59" s="2"/>
      <c r="Z59" s="2"/>
      <c r="AA59" s="3"/>
      <c r="AB59" s="269">
        <f>AB58+AC58+AD58+AE58+AF58</f>
        <v>0</v>
      </c>
      <c r="AC59" s="2"/>
      <c r="AD59" s="2"/>
      <c r="AE59" s="2"/>
      <c r="AF59" s="3"/>
      <c r="AG59" s="269">
        <f>AG58+AH58+AI58+AJ58</f>
        <v>0</v>
      </c>
      <c r="AH59" s="2"/>
      <c r="AI59" s="2"/>
      <c r="AJ59" s="3"/>
      <c r="AK59" s="269">
        <f>AK58+AL58+AM58+AN58</f>
        <v>0</v>
      </c>
      <c r="AL59" s="2"/>
      <c r="AM59" s="2"/>
      <c r="AN59" s="3"/>
      <c r="AO59" s="269">
        <f>AO58+AP58+AQ58+AR58+AS58</f>
        <v>0</v>
      </c>
      <c r="AP59" s="2"/>
      <c r="AQ59" s="2"/>
      <c r="AR59" s="2"/>
      <c r="AS59" s="3"/>
      <c r="AT59" s="269">
        <f>AT58+AU58+AV58+AW58</f>
        <v>0</v>
      </c>
      <c r="AU59" s="2"/>
      <c r="AV59" s="2"/>
      <c r="AW59" s="3"/>
      <c r="AX59" s="269">
        <f>AX58+AY58+AZ58+BA58</f>
        <v>0</v>
      </c>
      <c r="AY59" s="2"/>
      <c r="AZ59" s="2"/>
      <c r="BA59" s="3"/>
      <c r="BC59" s="271">
        <f>SUM(B59:AX59)</f>
        <v>262</v>
      </c>
    </row>
    <row r="60" ht="15.0" customHeight="1">
      <c r="A60" s="22"/>
      <c r="B60" s="272"/>
      <c r="C60" s="272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272"/>
      <c r="AR60" s="272"/>
      <c r="AS60" s="272"/>
      <c r="AT60" s="272"/>
      <c r="AU60" s="272"/>
      <c r="AV60" s="272"/>
      <c r="AW60" s="272"/>
      <c r="AX60" s="272"/>
      <c r="AY60" s="272"/>
      <c r="AZ60" s="272"/>
      <c r="BA60" s="272"/>
      <c r="BB60" s="272"/>
    </row>
    <row r="61" ht="15.0" customHeight="1">
      <c r="A61" s="22"/>
      <c r="B61" s="272"/>
      <c r="C61" s="272"/>
      <c r="D61" s="272"/>
      <c r="E61" s="272"/>
      <c r="F61" s="272"/>
      <c r="G61" s="272"/>
      <c r="H61" s="272"/>
      <c r="I61" s="272"/>
      <c r="J61" s="272"/>
      <c r="K61" s="272"/>
      <c r="L61" s="272"/>
      <c r="M61" s="272"/>
      <c r="N61" s="272"/>
      <c r="O61" s="272"/>
      <c r="P61" s="272"/>
      <c r="Q61" s="272"/>
      <c r="R61" s="272"/>
      <c r="S61" s="272"/>
      <c r="T61" s="272"/>
      <c r="U61" s="272"/>
      <c r="V61" s="272"/>
      <c r="W61" s="272"/>
      <c r="X61" s="272"/>
      <c r="Y61" s="272"/>
      <c r="Z61" s="272"/>
      <c r="AA61" s="272"/>
      <c r="AB61" s="272"/>
      <c r="AC61" s="272"/>
      <c r="AD61" s="272"/>
      <c r="AE61" s="272"/>
      <c r="AF61" s="272"/>
      <c r="AG61" s="272"/>
      <c r="AH61" s="272"/>
      <c r="AI61" s="272"/>
      <c r="AJ61" s="272"/>
      <c r="AK61" s="272"/>
      <c r="AL61" s="272"/>
      <c r="AM61" s="272"/>
      <c r="AN61" s="272"/>
      <c r="AO61" s="272"/>
      <c r="AP61" s="272"/>
      <c r="AQ61" s="272"/>
      <c r="AR61" s="272"/>
      <c r="AS61" s="272"/>
      <c r="AT61" s="272"/>
      <c r="AU61" s="272"/>
      <c r="AV61" s="272"/>
      <c r="AW61" s="272"/>
      <c r="AX61" s="272"/>
      <c r="AY61" s="272"/>
      <c r="AZ61" s="272"/>
      <c r="BA61" s="272"/>
      <c r="BB61" s="272"/>
    </row>
    <row r="62" ht="15.0" customHeight="1">
      <c r="B62" s="232" t="s">
        <v>397</v>
      </c>
      <c r="C62" s="2"/>
      <c r="D62" s="2"/>
      <c r="E62" s="2"/>
      <c r="F62" s="3"/>
      <c r="G62" s="232" t="s">
        <v>398</v>
      </c>
      <c r="H62" s="2"/>
      <c r="I62" s="2"/>
      <c r="J62" s="3"/>
      <c r="K62" s="232" t="s">
        <v>399</v>
      </c>
      <c r="L62" s="2"/>
      <c r="M62" s="2"/>
      <c r="N62" s="3"/>
      <c r="O62" s="232" t="s">
        <v>400</v>
      </c>
      <c r="P62" s="2"/>
      <c r="Q62" s="2"/>
      <c r="R62" s="2"/>
      <c r="S62" s="3"/>
      <c r="T62" s="232" t="s">
        <v>401</v>
      </c>
      <c r="U62" s="2"/>
      <c r="V62" s="2"/>
      <c r="W62" s="3"/>
      <c r="X62" s="232" t="s">
        <v>402</v>
      </c>
      <c r="Y62" s="2"/>
      <c r="Z62" s="2"/>
      <c r="AA62" s="3"/>
      <c r="AB62" s="232" t="s">
        <v>403</v>
      </c>
      <c r="AC62" s="2"/>
      <c r="AD62" s="2"/>
      <c r="AE62" s="2"/>
      <c r="AF62" s="3"/>
      <c r="AG62" s="232" t="s">
        <v>404</v>
      </c>
      <c r="AH62" s="2"/>
      <c r="AI62" s="2"/>
      <c r="AJ62" s="3"/>
      <c r="AK62" s="232" t="s">
        <v>405</v>
      </c>
      <c r="AL62" s="2"/>
      <c r="AM62" s="2"/>
      <c r="AN62" s="3"/>
      <c r="AO62" s="232" t="s">
        <v>406</v>
      </c>
      <c r="AP62" s="2"/>
      <c r="AQ62" s="2"/>
      <c r="AR62" s="2"/>
      <c r="AS62" s="3"/>
      <c r="AT62" s="232" t="s">
        <v>407</v>
      </c>
      <c r="AU62" s="2"/>
      <c r="AV62" s="2"/>
      <c r="AW62" s="3"/>
      <c r="AX62" s="232" t="s">
        <v>408</v>
      </c>
      <c r="AY62" s="2"/>
      <c r="AZ62" s="2"/>
      <c r="BA62" s="3"/>
    </row>
    <row r="63" ht="35.25" customHeight="1">
      <c r="A63" s="273" t="s">
        <v>422</v>
      </c>
      <c r="B63" s="234">
        <v>45902.0</v>
      </c>
      <c r="C63" s="235">
        <v>45909.0</v>
      </c>
      <c r="D63" s="235">
        <v>45916.0</v>
      </c>
      <c r="E63" s="235">
        <v>45923.0</v>
      </c>
      <c r="F63" s="236">
        <v>45930.0</v>
      </c>
      <c r="G63" s="234">
        <v>45937.0</v>
      </c>
      <c r="H63" s="235">
        <v>45944.0</v>
      </c>
      <c r="I63" s="235">
        <v>2121.0</v>
      </c>
      <c r="J63" s="236">
        <v>45958.0</v>
      </c>
      <c r="K63" s="234">
        <v>45965.0</v>
      </c>
      <c r="L63" s="235">
        <v>45972.0</v>
      </c>
      <c r="M63" s="235">
        <v>45979.0</v>
      </c>
      <c r="N63" s="236">
        <v>45986.0</v>
      </c>
      <c r="O63" s="234">
        <v>45993.0</v>
      </c>
      <c r="P63" s="235">
        <v>46000.0</v>
      </c>
      <c r="Q63" s="235">
        <v>46007.0</v>
      </c>
      <c r="R63" s="235" t="s">
        <v>410</v>
      </c>
      <c r="S63" s="236">
        <v>46021.0</v>
      </c>
      <c r="T63" s="234">
        <v>46030.0</v>
      </c>
      <c r="U63" s="235">
        <v>46036.0</v>
      </c>
      <c r="V63" s="235">
        <v>46042.0</v>
      </c>
      <c r="W63" s="236">
        <v>46049.0</v>
      </c>
      <c r="X63" s="234">
        <v>46057.0</v>
      </c>
      <c r="Y63" s="235">
        <v>46063.0</v>
      </c>
      <c r="Z63" s="235">
        <v>46070.0</v>
      </c>
      <c r="AA63" s="236">
        <v>46077.0</v>
      </c>
      <c r="AB63" s="234"/>
      <c r="AC63" s="235"/>
      <c r="AD63" s="235"/>
      <c r="AE63" s="235"/>
      <c r="AF63" s="236"/>
      <c r="AG63" s="234"/>
      <c r="AH63" s="235"/>
      <c r="AI63" s="235"/>
      <c r="AJ63" s="236"/>
      <c r="AK63" s="234"/>
      <c r="AL63" s="235"/>
      <c r="AM63" s="235"/>
      <c r="AN63" s="236"/>
      <c r="AO63" s="234"/>
      <c r="AP63" s="235"/>
      <c r="AQ63" s="235"/>
      <c r="AR63" s="235"/>
      <c r="AS63" s="236"/>
      <c r="AT63" s="234"/>
      <c r="AU63" s="235"/>
      <c r="AV63" s="235"/>
      <c r="AW63" s="236"/>
      <c r="AX63" s="234"/>
      <c r="AY63" s="235"/>
      <c r="AZ63" s="235"/>
      <c r="BA63" s="236"/>
      <c r="BB63" s="258" t="s">
        <v>411</v>
      </c>
    </row>
    <row r="64" ht="15.0" customHeight="1">
      <c r="A64" s="22" t="s">
        <v>5</v>
      </c>
      <c r="B64" s="88">
        <v>1.0</v>
      </c>
      <c r="C64" s="88"/>
      <c r="D64" s="88">
        <v>1.0</v>
      </c>
      <c r="E64" s="88">
        <v>1.0</v>
      </c>
      <c r="F64" s="88">
        <v>2.0</v>
      </c>
      <c r="G64" s="88">
        <v>1.0</v>
      </c>
      <c r="H64" s="88">
        <v>1.0</v>
      </c>
      <c r="I64" s="88">
        <v>1.0</v>
      </c>
      <c r="J64" s="88">
        <v>4.0</v>
      </c>
      <c r="K64" s="88">
        <v>2.0</v>
      </c>
      <c r="L64" s="88">
        <v>1.0</v>
      </c>
      <c r="M64" s="88">
        <v>1.0</v>
      </c>
      <c r="N64" s="88"/>
      <c r="O64" s="88"/>
      <c r="P64" s="88"/>
      <c r="Q64" s="88">
        <v>1.0</v>
      </c>
      <c r="R64" s="88"/>
      <c r="S64" s="88">
        <v>2.0</v>
      </c>
      <c r="T64" s="88">
        <v>4.0</v>
      </c>
      <c r="U64" s="88">
        <v>3.0</v>
      </c>
      <c r="V64" s="88"/>
      <c r="W64" s="88"/>
      <c r="X64" s="88"/>
      <c r="Y64" s="88">
        <v>1.0</v>
      </c>
      <c r="Z64" s="88"/>
      <c r="AA64" s="88">
        <v>2.0</v>
      </c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247"/>
      <c r="BA64" s="247"/>
      <c r="BB64" s="109">
        <f t="shared" ref="BB64:BB86" si="5">SUM(B64:BA64)</f>
        <v>29</v>
      </c>
    </row>
    <row r="65" ht="15.0" customHeight="1">
      <c r="A65" s="22" t="s">
        <v>120</v>
      </c>
      <c r="B65" s="88">
        <v>1.0</v>
      </c>
      <c r="C65" s="88">
        <v>1.0</v>
      </c>
      <c r="D65" s="88"/>
      <c r="E65" s="88"/>
      <c r="F65" s="88">
        <v>1.0</v>
      </c>
      <c r="G65" s="88"/>
      <c r="H65" s="88"/>
      <c r="I65" s="88">
        <v>1.0</v>
      </c>
      <c r="J65" s="88">
        <v>1.0</v>
      </c>
      <c r="K65" s="88">
        <v>2.0</v>
      </c>
      <c r="L65" s="88">
        <v>1.0</v>
      </c>
      <c r="M65" s="88"/>
      <c r="N65" s="88"/>
      <c r="O65" s="88">
        <v>1.0</v>
      </c>
      <c r="P65" s="88">
        <v>1.0</v>
      </c>
      <c r="Q65" s="88"/>
      <c r="R65" s="88"/>
      <c r="S65" s="88"/>
      <c r="T65" s="88"/>
      <c r="U65" s="88">
        <v>2.0</v>
      </c>
      <c r="V65" s="88"/>
      <c r="W65" s="88"/>
      <c r="X65" s="88"/>
      <c r="Y65" s="88">
        <v>2.0</v>
      </c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247"/>
      <c r="BA65" s="247"/>
      <c r="BB65" s="109">
        <f t="shared" si="5"/>
        <v>14</v>
      </c>
    </row>
    <row r="66" ht="15.0" customHeight="1">
      <c r="A66" s="22" t="s">
        <v>18</v>
      </c>
      <c r="B66" s="88"/>
      <c r="C66" s="88"/>
      <c r="D66" s="88"/>
      <c r="E66" s="88"/>
      <c r="F66" s="88"/>
      <c r="G66" s="88"/>
      <c r="H66" s="88">
        <v>1.0</v>
      </c>
      <c r="I66" s="88"/>
      <c r="J66" s="88"/>
      <c r="K66" s="88"/>
      <c r="L66" s="88"/>
      <c r="M66" s="88"/>
      <c r="N66" s="88"/>
      <c r="O66" s="88"/>
      <c r="P66" s="88">
        <v>1.0</v>
      </c>
      <c r="Q66" s="88">
        <v>1.0</v>
      </c>
      <c r="R66" s="88"/>
      <c r="S66" s="88"/>
      <c r="T66" s="88"/>
      <c r="U66" s="88">
        <v>2.0</v>
      </c>
      <c r="V66" s="88"/>
      <c r="W66" s="88"/>
      <c r="X66" s="88">
        <v>1.0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247"/>
      <c r="BA66" s="247"/>
      <c r="BB66" s="109">
        <f t="shared" si="5"/>
        <v>6</v>
      </c>
    </row>
    <row r="67" ht="14.25" customHeight="1">
      <c r="A67" s="22" t="s">
        <v>7</v>
      </c>
      <c r="B67" s="88"/>
      <c r="C67" s="88"/>
      <c r="D67" s="88">
        <v>2.0</v>
      </c>
      <c r="E67" s="88">
        <v>1.0</v>
      </c>
      <c r="F67" s="88">
        <v>1.0</v>
      </c>
      <c r="G67" s="88">
        <v>1.0</v>
      </c>
      <c r="H67" s="88"/>
      <c r="I67" s="88">
        <v>2.0</v>
      </c>
      <c r="J67" s="88">
        <v>1.0</v>
      </c>
      <c r="K67" s="88"/>
      <c r="L67" s="88"/>
      <c r="M67" s="88">
        <v>2.0</v>
      </c>
      <c r="N67" s="88"/>
      <c r="O67" s="88">
        <v>2.0</v>
      </c>
      <c r="P67" s="88"/>
      <c r="Q67" s="88"/>
      <c r="R67" s="88"/>
      <c r="S67" s="88"/>
      <c r="T67" s="88"/>
      <c r="U67" s="88"/>
      <c r="V67" s="88"/>
      <c r="W67" s="88"/>
      <c r="X67" s="88">
        <v>3.0</v>
      </c>
      <c r="Y67" s="88">
        <v>1.0</v>
      </c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247"/>
      <c r="BA67" s="247"/>
      <c r="BB67" s="109">
        <f t="shared" si="5"/>
        <v>16</v>
      </c>
    </row>
    <row r="68" ht="14.25" customHeight="1">
      <c r="A68" s="22" t="s">
        <v>17</v>
      </c>
      <c r="B68" s="88">
        <v>1.0</v>
      </c>
      <c r="C68" s="88"/>
      <c r="D68" s="88">
        <v>1.0</v>
      </c>
      <c r="E68" s="88">
        <v>1.0</v>
      </c>
      <c r="F68" s="88"/>
      <c r="G68" s="88">
        <v>4.0</v>
      </c>
      <c r="H68" s="88"/>
      <c r="I68" s="88">
        <v>1.0</v>
      </c>
      <c r="J68" s="88"/>
      <c r="K68" s="88"/>
      <c r="L68" s="88"/>
      <c r="M68" s="88"/>
      <c r="N68" s="88">
        <v>3.0</v>
      </c>
      <c r="O68" s="88"/>
      <c r="P68" s="88">
        <v>1.0</v>
      </c>
      <c r="Q68" s="88">
        <v>2.0</v>
      </c>
      <c r="R68" s="88"/>
      <c r="S68" s="88">
        <v>1.0</v>
      </c>
      <c r="T68" s="88"/>
      <c r="U68" s="88"/>
      <c r="V68" s="88">
        <v>2.0</v>
      </c>
      <c r="W68" s="88">
        <v>3.0</v>
      </c>
      <c r="X68" s="88">
        <v>1.0</v>
      </c>
      <c r="Y68" s="88">
        <v>2.0</v>
      </c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247"/>
      <c r="BA68" s="247"/>
      <c r="BB68" s="109">
        <f t="shared" si="5"/>
        <v>23</v>
      </c>
    </row>
    <row r="69" ht="15.0" customHeight="1">
      <c r="A69" s="22" t="s">
        <v>20</v>
      </c>
      <c r="B69" s="88">
        <v>3.0</v>
      </c>
      <c r="C69" s="88"/>
      <c r="D69" s="88">
        <v>1.0</v>
      </c>
      <c r="E69" s="88"/>
      <c r="F69" s="88"/>
      <c r="G69" s="88"/>
      <c r="H69" s="88"/>
      <c r="I69" s="88"/>
      <c r="J69" s="88"/>
      <c r="K69" s="88">
        <v>1.0</v>
      </c>
      <c r="L69" s="88"/>
      <c r="M69" s="88"/>
      <c r="N69" s="88"/>
      <c r="O69" s="88"/>
      <c r="P69" s="88">
        <v>3.0</v>
      </c>
      <c r="Q69" s="88"/>
      <c r="R69" s="88"/>
      <c r="S69" s="88"/>
      <c r="T69" s="88">
        <v>4.0</v>
      </c>
      <c r="U69" s="88"/>
      <c r="V69" s="88"/>
      <c r="W69" s="88"/>
      <c r="X69" s="88">
        <v>1.0</v>
      </c>
      <c r="Y69" s="88"/>
      <c r="Z69" s="88">
        <v>2.0</v>
      </c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247"/>
      <c r="BA69" s="247"/>
      <c r="BB69" s="109">
        <f t="shared" si="5"/>
        <v>15</v>
      </c>
    </row>
    <row r="70" ht="15.0" customHeight="1">
      <c r="A70" s="22" t="s">
        <v>278</v>
      </c>
      <c r="B70" s="88">
        <v>1.0</v>
      </c>
      <c r="C70" s="88"/>
      <c r="D70" s="88">
        <v>1.0</v>
      </c>
      <c r="E70" s="88"/>
      <c r="F70" s="88"/>
      <c r="G70" s="88"/>
      <c r="H70" s="88">
        <v>1.0</v>
      </c>
      <c r="I70" s="88"/>
      <c r="J70" s="88"/>
      <c r="K70" s="88">
        <v>1.0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>
        <v>2.0</v>
      </c>
      <c r="Y70" s="88"/>
      <c r="Z70" s="88">
        <v>1.0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247"/>
      <c r="BA70" s="247"/>
      <c r="BB70" s="109">
        <f t="shared" si="5"/>
        <v>7</v>
      </c>
    </row>
    <row r="71" ht="15.0" customHeight="1">
      <c r="A71" s="22" t="s">
        <v>166</v>
      </c>
      <c r="B71" s="88"/>
      <c r="C71" s="88"/>
      <c r="D71" s="88">
        <v>1.0</v>
      </c>
      <c r="E71" s="88"/>
      <c r="F71" s="88"/>
      <c r="G71" s="88"/>
      <c r="H71" s="88"/>
      <c r="I71" s="88"/>
      <c r="J71" s="88"/>
      <c r="K71" s="88"/>
      <c r="L71" s="88"/>
      <c r="M71" s="88">
        <v>1.0</v>
      </c>
      <c r="N71" s="88">
        <v>1.0</v>
      </c>
      <c r="O71" s="88">
        <v>1.0</v>
      </c>
      <c r="P71" s="88">
        <v>1.0</v>
      </c>
      <c r="Q71" s="88"/>
      <c r="R71" s="88"/>
      <c r="S71" s="88"/>
      <c r="T71" s="88">
        <v>1.0</v>
      </c>
      <c r="U71" s="88"/>
      <c r="V71" s="88">
        <v>2.0</v>
      </c>
      <c r="W71" s="88">
        <v>2.0</v>
      </c>
      <c r="X71" s="88"/>
      <c r="Y71" s="88"/>
      <c r="Z71" s="88"/>
      <c r="AA71" s="88">
        <v>2.0</v>
      </c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247"/>
      <c r="BA71" s="247"/>
      <c r="BB71" s="109">
        <f t="shared" si="5"/>
        <v>12</v>
      </c>
    </row>
    <row r="72" ht="15.0" customHeight="1">
      <c r="A72" s="22" t="s">
        <v>4</v>
      </c>
      <c r="B72" s="88"/>
      <c r="C72" s="88"/>
      <c r="D72" s="88"/>
      <c r="E72" s="88"/>
      <c r="F72" s="88">
        <v>1.0</v>
      </c>
      <c r="G72" s="88">
        <v>2.0</v>
      </c>
      <c r="H72" s="88"/>
      <c r="I72" s="88"/>
      <c r="J72" s="88">
        <v>2.0</v>
      </c>
      <c r="K72" s="88">
        <v>1.0</v>
      </c>
      <c r="L72" s="88">
        <v>1.0</v>
      </c>
      <c r="M72" s="88"/>
      <c r="N72" s="88"/>
      <c r="O72" s="88">
        <v>1.0</v>
      </c>
      <c r="P72" s="88"/>
      <c r="Q72" s="88"/>
      <c r="R72" s="88"/>
      <c r="S72" s="88"/>
      <c r="T72" s="88"/>
      <c r="U72" s="88"/>
      <c r="V72" s="88"/>
      <c r="W72" s="88"/>
      <c r="X72" s="88"/>
      <c r="Y72" s="88">
        <v>1.0</v>
      </c>
      <c r="Z72" s="88"/>
      <c r="AA72" s="88">
        <v>2.0</v>
      </c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247"/>
      <c r="BA72" s="247"/>
      <c r="BB72" s="109">
        <f t="shared" si="5"/>
        <v>11</v>
      </c>
    </row>
    <row r="73" ht="15.0" customHeight="1">
      <c r="A73" s="22" t="s">
        <v>14</v>
      </c>
      <c r="B73" s="88">
        <v>2.0</v>
      </c>
      <c r="C73" s="88"/>
      <c r="D73" s="88"/>
      <c r="E73" s="88">
        <v>2.0</v>
      </c>
      <c r="F73" s="88"/>
      <c r="G73" s="88"/>
      <c r="H73" s="88"/>
      <c r="I73" s="88"/>
      <c r="J73" s="88">
        <v>1.0</v>
      </c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>
        <v>2.0</v>
      </c>
      <c r="V73" s="88">
        <v>1.0</v>
      </c>
      <c r="W73" s="88"/>
      <c r="X73" s="88"/>
      <c r="Y73" s="88"/>
      <c r="Z73" s="88"/>
      <c r="AA73" s="88">
        <v>1.0</v>
      </c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247"/>
      <c r="BA73" s="247"/>
      <c r="BB73" s="109">
        <f t="shared" si="5"/>
        <v>9</v>
      </c>
    </row>
    <row r="74" ht="15.0" customHeight="1">
      <c r="A74" s="22" t="s">
        <v>296</v>
      </c>
      <c r="B74" s="88"/>
      <c r="C74" s="88"/>
      <c r="D74" s="88"/>
      <c r="E74" s="88"/>
      <c r="F74" s="88">
        <v>1.0</v>
      </c>
      <c r="G74" s="88">
        <v>2.0</v>
      </c>
      <c r="H74" s="88">
        <v>1.0</v>
      </c>
      <c r="I74" s="88"/>
      <c r="J74" s="88"/>
      <c r="K74" s="88"/>
      <c r="L74" s="88">
        <v>1.0</v>
      </c>
      <c r="M74" s="88"/>
      <c r="N74" s="88"/>
      <c r="O74" s="88">
        <v>1.0</v>
      </c>
      <c r="P74" s="88">
        <v>1.0</v>
      </c>
      <c r="Q74" s="88"/>
      <c r="R74" s="88"/>
      <c r="S74" s="88"/>
      <c r="T74" s="88">
        <v>2.0</v>
      </c>
      <c r="U74" s="88"/>
      <c r="V74" s="88"/>
      <c r="W74" s="88"/>
      <c r="X74" s="88"/>
      <c r="Y74" s="88"/>
      <c r="Z74" s="88"/>
      <c r="AA74" s="88">
        <v>1.0</v>
      </c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247"/>
      <c r="BA74" s="247"/>
      <c r="BB74" s="109">
        <f t="shared" si="5"/>
        <v>10</v>
      </c>
    </row>
    <row r="75" ht="15.0" customHeight="1">
      <c r="A75" s="22" t="s">
        <v>138</v>
      </c>
      <c r="B75" s="88"/>
      <c r="C75" s="88"/>
      <c r="D75" s="88">
        <v>2.0</v>
      </c>
      <c r="E75" s="88"/>
      <c r="F75" s="88"/>
      <c r="G75" s="88"/>
      <c r="H75" s="88"/>
      <c r="I75" s="88"/>
      <c r="J75" s="88"/>
      <c r="K75" s="88"/>
      <c r="L75" s="88">
        <v>1.0</v>
      </c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247"/>
      <c r="BA75" s="247"/>
      <c r="BB75" s="109">
        <f t="shared" si="5"/>
        <v>3</v>
      </c>
    </row>
    <row r="76" ht="15.0" customHeight="1">
      <c r="A76" s="22" t="s">
        <v>359</v>
      </c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>
        <v>1.0</v>
      </c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247"/>
      <c r="BA76" s="247"/>
      <c r="BB76" s="109">
        <f t="shared" si="5"/>
        <v>1</v>
      </c>
    </row>
    <row r="77" ht="15.0" customHeight="1">
      <c r="A77" s="22" t="s">
        <v>210</v>
      </c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247"/>
      <c r="BA77" s="247"/>
      <c r="BB77" s="109">
        <f t="shared" si="5"/>
        <v>0</v>
      </c>
    </row>
    <row r="78" ht="15.0" customHeight="1">
      <c r="A78" s="22" t="s">
        <v>211</v>
      </c>
      <c r="B78" s="88"/>
      <c r="C78" s="88"/>
      <c r="D78" s="88"/>
      <c r="E78" s="88">
        <v>1.0</v>
      </c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247"/>
      <c r="BA78" s="247"/>
      <c r="BB78" s="109">
        <f t="shared" si="5"/>
        <v>1</v>
      </c>
    </row>
    <row r="79" ht="15.0" customHeight="1">
      <c r="A79" s="22" t="s">
        <v>417</v>
      </c>
      <c r="B79" s="88"/>
      <c r="C79" s="88"/>
      <c r="D79" s="88"/>
      <c r="E79" s="88"/>
      <c r="F79" s="88">
        <v>1.0</v>
      </c>
      <c r="G79" s="88"/>
      <c r="H79" s="88"/>
      <c r="I79" s="88"/>
      <c r="J79" s="88">
        <v>1.0</v>
      </c>
      <c r="K79" s="88">
        <v>1.0</v>
      </c>
      <c r="L79" s="88"/>
      <c r="M79" s="88"/>
      <c r="N79" s="88">
        <v>1.0</v>
      </c>
      <c r="O79" s="88"/>
      <c r="P79" s="88"/>
      <c r="Q79" s="88">
        <v>1.0</v>
      </c>
      <c r="R79" s="88"/>
      <c r="S79" s="88"/>
      <c r="T79" s="88">
        <v>2.0</v>
      </c>
      <c r="U79" s="88"/>
      <c r="V79" s="88"/>
      <c r="W79" s="88"/>
      <c r="X79" s="88"/>
      <c r="Y79" s="88">
        <v>1.0</v>
      </c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247"/>
      <c r="BA79" s="247"/>
      <c r="BB79" s="109">
        <f t="shared" si="5"/>
        <v>8</v>
      </c>
    </row>
    <row r="80" ht="15.0" customHeight="1">
      <c r="A80" s="22" t="s">
        <v>263</v>
      </c>
      <c r="B80" s="88"/>
      <c r="C80" s="88"/>
      <c r="D80" s="88"/>
      <c r="E80" s="88"/>
      <c r="F80" s="88"/>
      <c r="G80" s="88">
        <v>1.0</v>
      </c>
      <c r="H80" s="88"/>
      <c r="I80" s="88">
        <v>1.0</v>
      </c>
      <c r="J80" s="88">
        <v>2.0</v>
      </c>
      <c r="K80" s="88"/>
      <c r="L80" s="88"/>
      <c r="M80" s="88">
        <v>1.0</v>
      </c>
      <c r="N80" s="88">
        <v>1.0</v>
      </c>
      <c r="O80" s="88">
        <v>2.0</v>
      </c>
      <c r="P80" s="88"/>
      <c r="Q80" s="88"/>
      <c r="R80" s="88"/>
      <c r="S80" s="88"/>
      <c r="T80" s="88"/>
      <c r="U80" s="88"/>
      <c r="V80" s="88"/>
      <c r="W80" s="88"/>
      <c r="X80" s="88">
        <v>1.0</v>
      </c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247"/>
      <c r="BA80" s="247"/>
      <c r="BB80" s="109">
        <f t="shared" si="5"/>
        <v>9</v>
      </c>
    </row>
    <row r="81" ht="15.0" customHeight="1">
      <c r="A81" s="22" t="s">
        <v>11</v>
      </c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247"/>
      <c r="BA81" s="247"/>
      <c r="BB81" s="109">
        <f t="shared" si="5"/>
        <v>0</v>
      </c>
    </row>
    <row r="82" ht="15.0" customHeight="1">
      <c r="A82" s="22" t="s">
        <v>418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>
        <v>1.0</v>
      </c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247"/>
      <c r="BA82" s="247"/>
      <c r="BB82" s="109">
        <f t="shared" si="5"/>
        <v>1</v>
      </c>
    </row>
    <row r="83" ht="15.0" customHeight="1">
      <c r="A83" s="22" t="s">
        <v>387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>
        <v>2.0</v>
      </c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247"/>
      <c r="BA83" s="247"/>
      <c r="BB83" s="109">
        <f t="shared" si="5"/>
        <v>2</v>
      </c>
    </row>
    <row r="84" ht="15.0" customHeight="1">
      <c r="A84" s="22" t="s">
        <v>376</v>
      </c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247"/>
      <c r="BA84" s="247"/>
      <c r="BB84" s="109">
        <f t="shared" si="5"/>
        <v>0</v>
      </c>
    </row>
    <row r="85" ht="15.0" customHeight="1">
      <c r="A85" s="22" t="s">
        <v>384</v>
      </c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247"/>
      <c r="BA85" s="247"/>
      <c r="BB85" s="109">
        <f t="shared" si="5"/>
        <v>0</v>
      </c>
    </row>
    <row r="86" ht="15.0" customHeight="1">
      <c r="A86" s="22" t="s">
        <v>259</v>
      </c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247"/>
      <c r="BA86" s="247"/>
      <c r="BB86" s="109">
        <f t="shared" si="5"/>
        <v>0</v>
      </c>
    </row>
    <row r="87" ht="15.0" customHeight="1">
      <c r="A87" s="22"/>
      <c r="B87" s="272"/>
      <c r="C87" s="272"/>
      <c r="D87" s="272"/>
      <c r="E87" s="272"/>
      <c r="F87" s="272"/>
      <c r="G87" s="272"/>
      <c r="H87" s="272"/>
      <c r="I87" s="272"/>
      <c r="J87" s="272"/>
      <c r="K87" s="272"/>
      <c r="L87" s="272"/>
      <c r="M87" s="272"/>
      <c r="N87" s="272"/>
      <c r="O87" s="272"/>
      <c r="P87" s="272"/>
      <c r="Q87" s="272"/>
      <c r="R87" s="272"/>
      <c r="S87" s="272"/>
      <c r="T87" s="272"/>
      <c r="U87" s="272"/>
      <c r="V87" s="272"/>
      <c r="W87" s="272"/>
      <c r="X87" s="272"/>
      <c r="Y87" s="272"/>
      <c r="Z87" s="272"/>
      <c r="AA87" s="272"/>
      <c r="AB87" s="272"/>
      <c r="AC87" s="272"/>
      <c r="AD87" s="272"/>
      <c r="AE87" s="272"/>
      <c r="AF87" s="272"/>
      <c r="AG87" s="272"/>
      <c r="AH87" s="272"/>
      <c r="AI87" s="272"/>
      <c r="AJ87" s="272"/>
      <c r="AK87" s="272"/>
      <c r="AL87" s="272"/>
      <c r="AM87" s="272"/>
      <c r="AN87" s="272"/>
      <c r="AO87" s="272"/>
      <c r="AP87" s="272"/>
      <c r="AQ87" s="272"/>
      <c r="AR87" s="272"/>
      <c r="AS87" s="272"/>
      <c r="AT87" s="272"/>
      <c r="AU87" s="272"/>
      <c r="AV87" s="272"/>
      <c r="AW87" s="272"/>
      <c r="AX87" s="272"/>
      <c r="AY87" s="272"/>
      <c r="AZ87" s="272"/>
      <c r="BA87" s="272"/>
      <c r="BB87" s="274">
        <f>SUM(BB64:BB86)</f>
        <v>177</v>
      </c>
    </row>
    <row r="88" ht="15.0" customHeight="1"/>
    <row r="89" ht="14.25" customHeight="1">
      <c r="A89" s="275" t="s">
        <v>423</v>
      </c>
      <c r="B89" s="275">
        <v>1.0</v>
      </c>
      <c r="C89" s="275">
        <v>2.0</v>
      </c>
      <c r="D89" s="275">
        <v>3.0</v>
      </c>
      <c r="E89" s="275">
        <v>4.0</v>
      </c>
      <c r="F89" s="275">
        <v>5.0</v>
      </c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276"/>
      <c r="AN89" s="276"/>
      <c r="AO89" s="276"/>
      <c r="AP89" s="276"/>
      <c r="AQ89" s="276"/>
      <c r="AR89" s="276"/>
      <c r="AS89" s="276"/>
      <c r="AT89" s="276"/>
      <c r="AU89" s="276"/>
      <c r="AV89" s="276"/>
      <c r="AW89" s="276"/>
      <c r="AX89" s="276"/>
      <c r="AY89" s="276"/>
      <c r="AZ89" s="276"/>
      <c r="BA89" s="276"/>
      <c r="BB89" s="276"/>
      <c r="BC89" s="276"/>
      <c r="BD89" s="276"/>
      <c r="BE89" s="276"/>
    </row>
    <row r="90" ht="14.25" customHeight="1">
      <c r="A90" s="22" t="s">
        <v>18</v>
      </c>
      <c r="B90" s="277"/>
      <c r="C90" s="277"/>
      <c r="D90" s="277"/>
      <c r="E90" s="275"/>
      <c r="F90" s="278"/>
      <c r="M90" s="279"/>
      <c r="N90" s="279"/>
      <c r="O90" s="279"/>
      <c r="P90" s="279"/>
      <c r="Q90" s="279"/>
      <c r="R90" s="279"/>
      <c r="S90" s="279"/>
      <c r="T90" s="279"/>
      <c r="U90" s="279"/>
      <c r="V90" s="279"/>
      <c r="W90" s="279"/>
      <c r="X90" s="279"/>
      <c r="Y90" s="279"/>
      <c r="Z90" s="279"/>
      <c r="AA90" s="279"/>
      <c r="AB90" s="279"/>
      <c r="AC90" s="279"/>
      <c r="AD90" s="279"/>
      <c r="AE90" s="279"/>
      <c r="AF90" s="279"/>
      <c r="AG90" s="279"/>
      <c r="AH90" s="279"/>
      <c r="AI90" s="279"/>
      <c r="AJ90" s="279"/>
      <c r="AK90" s="279"/>
      <c r="AL90" s="279"/>
      <c r="AM90" s="279"/>
      <c r="AN90" s="279"/>
      <c r="AO90" s="279"/>
      <c r="AP90" s="279"/>
      <c r="AQ90" s="279"/>
      <c r="AR90" s="279"/>
      <c r="AS90" s="279"/>
      <c r="AT90" s="279"/>
      <c r="AU90" s="279"/>
      <c r="AV90" s="279"/>
      <c r="AW90" s="279"/>
      <c r="AX90" s="279"/>
      <c r="AY90" s="279"/>
      <c r="AZ90" s="279"/>
      <c r="BA90" s="279"/>
      <c r="BB90" s="279"/>
      <c r="BC90" s="279"/>
      <c r="BD90" s="279"/>
      <c r="BE90" s="279"/>
    </row>
    <row r="91" ht="14.25" customHeight="1">
      <c r="A91" s="22" t="s">
        <v>10</v>
      </c>
      <c r="B91" s="277"/>
      <c r="C91" s="275"/>
      <c r="D91" s="278"/>
      <c r="E91" s="278"/>
      <c r="F91" s="278"/>
      <c r="M91" s="279"/>
      <c r="N91" s="279"/>
      <c r="O91" s="279"/>
      <c r="P91" s="279"/>
      <c r="Q91" s="279"/>
      <c r="R91" s="279"/>
      <c r="S91" s="279"/>
      <c r="T91" s="279"/>
      <c r="U91" s="279"/>
      <c r="V91" s="279"/>
      <c r="W91" s="279"/>
      <c r="X91" s="279"/>
      <c r="Y91" s="279"/>
      <c r="Z91" s="279"/>
      <c r="AA91" s="279"/>
      <c r="AB91" s="279"/>
      <c r="AC91" s="279"/>
      <c r="AD91" s="279"/>
      <c r="AE91" s="279"/>
      <c r="AF91" s="279"/>
      <c r="AG91" s="279"/>
      <c r="AH91" s="279"/>
      <c r="AI91" s="279"/>
      <c r="AJ91" s="279"/>
      <c r="AK91" s="279"/>
      <c r="AL91" s="279"/>
      <c r="AM91" s="279"/>
      <c r="AN91" s="279"/>
      <c r="AO91" s="279"/>
      <c r="AP91" s="279"/>
      <c r="AQ91" s="279"/>
      <c r="AR91" s="279"/>
      <c r="AS91" s="279"/>
      <c r="AT91" s="279"/>
      <c r="AU91" s="279"/>
      <c r="AV91" s="279"/>
      <c r="AW91" s="279"/>
      <c r="AX91" s="279"/>
      <c r="AY91" s="279"/>
      <c r="AZ91" s="279"/>
      <c r="BA91" s="279"/>
      <c r="BB91" s="279"/>
      <c r="BC91" s="279"/>
      <c r="BD91" s="279"/>
      <c r="BE91" s="279"/>
    </row>
    <row r="92" ht="14.25" customHeight="1">
      <c r="A92" s="22" t="s">
        <v>417</v>
      </c>
      <c r="B92" s="277"/>
      <c r="C92" s="275"/>
      <c r="D92" s="275"/>
      <c r="E92" s="278"/>
      <c r="F92" s="278"/>
      <c r="M92" s="279"/>
      <c r="N92" s="279"/>
      <c r="O92" s="279"/>
      <c r="P92" s="279"/>
      <c r="Q92" s="279"/>
      <c r="R92" s="279"/>
      <c r="S92" s="279"/>
      <c r="T92" s="279"/>
      <c r="U92" s="279"/>
      <c r="V92" s="279"/>
      <c r="W92" s="279"/>
      <c r="X92" s="279"/>
      <c r="Y92" s="279"/>
      <c r="Z92" s="279"/>
      <c r="AA92" s="279"/>
      <c r="AB92" s="279"/>
      <c r="AC92" s="279"/>
      <c r="AD92" s="279"/>
      <c r="AE92" s="279"/>
      <c r="AF92" s="279"/>
      <c r="AG92" s="279"/>
      <c r="AH92" s="279"/>
      <c r="AI92" s="279"/>
      <c r="AJ92" s="279"/>
      <c r="AK92" s="279"/>
      <c r="AL92" s="279"/>
      <c r="AM92" s="279"/>
      <c r="AN92" s="279"/>
      <c r="AO92" s="279"/>
      <c r="AP92" s="279"/>
      <c r="AQ92" s="279"/>
      <c r="AR92" s="279"/>
      <c r="AS92" s="279"/>
      <c r="AT92" s="279"/>
      <c r="AU92" s="279"/>
      <c r="AV92" s="279"/>
      <c r="AW92" s="279"/>
      <c r="AX92" s="279"/>
      <c r="AY92" s="279"/>
      <c r="AZ92" s="279"/>
      <c r="BA92" s="279"/>
      <c r="BB92" s="279"/>
      <c r="BC92" s="279"/>
      <c r="BD92" s="279"/>
      <c r="BE92" s="279"/>
    </row>
    <row r="93" ht="14.25" customHeight="1">
      <c r="A93" s="22" t="s">
        <v>263</v>
      </c>
      <c r="B93" s="277"/>
      <c r="C93" s="275"/>
      <c r="D93" s="275"/>
      <c r="E93" s="278"/>
      <c r="F93" s="278"/>
      <c r="M93" s="279"/>
      <c r="N93" s="279"/>
      <c r="O93" s="279"/>
      <c r="P93" s="279"/>
      <c r="Q93" s="279"/>
      <c r="R93" s="279"/>
      <c r="S93" s="279"/>
      <c r="T93" s="279"/>
      <c r="U93" s="279"/>
      <c r="V93" s="279"/>
      <c r="W93" s="279"/>
      <c r="X93" s="279"/>
      <c r="Y93" s="279"/>
      <c r="Z93" s="279"/>
      <c r="AA93" s="279"/>
      <c r="AB93" s="279"/>
      <c r="AC93" s="279"/>
      <c r="AD93" s="279"/>
      <c r="AE93" s="279"/>
      <c r="AF93" s="279"/>
      <c r="AG93" s="279"/>
      <c r="AH93" s="279"/>
      <c r="AI93" s="279"/>
      <c r="AJ93" s="279"/>
      <c r="AK93" s="279"/>
      <c r="AL93" s="279"/>
      <c r="AM93" s="279"/>
      <c r="AN93" s="279"/>
      <c r="AO93" s="279"/>
      <c r="AP93" s="279"/>
      <c r="AQ93" s="279"/>
      <c r="AR93" s="279"/>
      <c r="AS93" s="279"/>
      <c r="AT93" s="279"/>
      <c r="AU93" s="279"/>
      <c r="AV93" s="279"/>
      <c r="AW93" s="279"/>
      <c r="AX93" s="279"/>
      <c r="AY93" s="279"/>
      <c r="AZ93" s="279"/>
      <c r="BA93" s="279"/>
      <c r="BB93" s="279"/>
      <c r="BC93" s="279"/>
      <c r="BD93" s="279"/>
      <c r="BE93" s="279"/>
    </row>
    <row r="94" ht="14.25" customHeight="1">
      <c r="A94" s="22" t="s">
        <v>20</v>
      </c>
      <c r="B94" s="277"/>
      <c r="C94" s="275"/>
      <c r="D94" s="278"/>
      <c r="E94" s="278"/>
      <c r="F94" s="278"/>
      <c r="M94" s="279"/>
      <c r="N94" s="279"/>
      <c r="O94" s="279"/>
      <c r="P94" s="279"/>
      <c r="Q94" s="279"/>
      <c r="R94" s="279"/>
      <c r="S94" s="279"/>
      <c r="T94" s="279"/>
      <c r="U94" s="279"/>
      <c r="V94" s="279"/>
      <c r="W94" s="279"/>
      <c r="X94" s="279"/>
      <c r="Y94" s="279"/>
      <c r="Z94" s="279"/>
      <c r="AA94" s="279"/>
      <c r="AB94" s="279"/>
      <c r="AC94" s="279"/>
      <c r="AD94" s="279"/>
      <c r="AE94" s="279"/>
      <c r="AF94" s="279"/>
      <c r="AG94" s="279"/>
      <c r="AH94" s="279"/>
      <c r="AI94" s="279"/>
      <c r="AJ94" s="279"/>
      <c r="AK94" s="279"/>
      <c r="AL94" s="279"/>
      <c r="AM94" s="279"/>
      <c r="AN94" s="279"/>
      <c r="AO94" s="279"/>
      <c r="AP94" s="279"/>
      <c r="AQ94" s="279"/>
      <c r="AR94" s="279"/>
      <c r="AS94" s="279"/>
      <c r="AT94" s="279"/>
      <c r="AU94" s="279"/>
      <c r="AV94" s="279"/>
      <c r="AW94" s="279"/>
      <c r="AX94" s="279"/>
      <c r="AY94" s="279"/>
      <c r="AZ94" s="279"/>
      <c r="BA94" s="279"/>
      <c r="BB94" s="279"/>
      <c r="BC94" s="279"/>
      <c r="BD94" s="279"/>
      <c r="BE94" s="279"/>
    </row>
    <row r="95" ht="14.25" customHeight="1">
      <c r="A95" s="22" t="s">
        <v>296</v>
      </c>
      <c r="B95" s="277"/>
      <c r="C95" s="275"/>
      <c r="D95" s="278"/>
      <c r="E95" s="278"/>
      <c r="F95" s="278"/>
      <c r="M95" s="279"/>
      <c r="N95" s="279"/>
      <c r="O95" s="279"/>
      <c r="Q95" s="279"/>
      <c r="R95" s="279"/>
      <c r="S95" s="279"/>
      <c r="T95" s="279"/>
      <c r="U95" s="279"/>
      <c r="V95" s="279"/>
      <c r="W95" s="279"/>
      <c r="X95" s="279"/>
      <c r="Y95" s="279"/>
      <c r="Z95" s="279"/>
      <c r="AA95" s="279"/>
      <c r="AB95" s="279"/>
      <c r="AC95" s="279"/>
      <c r="AD95" s="279"/>
      <c r="AE95" s="279"/>
      <c r="AF95" s="279"/>
      <c r="AG95" s="279"/>
      <c r="AH95" s="279"/>
      <c r="AI95" s="279"/>
      <c r="AJ95" s="279"/>
      <c r="AK95" s="279"/>
      <c r="AL95" s="279"/>
      <c r="AM95" s="279"/>
      <c r="AN95" s="279"/>
      <c r="AO95" s="279"/>
      <c r="AP95" s="279"/>
      <c r="AQ95" s="279"/>
      <c r="AR95" s="279"/>
      <c r="AS95" s="279"/>
      <c r="AT95" s="279"/>
      <c r="AU95" s="279"/>
      <c r="AV95" s="279"/>
      <c r="AW95" s="279"/>
      <c r="AX95" s="279"/>
      <c r="AY95" s="279"/>
      <c r="AZ95" s="279"/>
      <c r="BA95" s="279"/>
      <c r="BB95" s="279"/>
      <c r="BC95" s="279"/>
      <c r="BD95" s="279"/>
      <c r="BE95" s="279"/>
    </row>
    <row r="96" ht="14.25" customHeight="1">
      <c r="A96" s="22"/>
      <c r="B96" s="275"/>
      <c r="C96" s="275"/>
      <c r="D96" s="278"/>
      <c r="E96" s="259"/>
      <c r="F96" s="259"/>
      <c r="M96" s="272"/>
      <c r="N96" s="272"/>
      <c r="O96" s="272"/>
      <c r="P96" s="272"/>
      <c r="Q96" s="272"/>
      <c r="R96" s="272"/>
      <c r="S96" s="272"/>
      <c r="T96" s="272"/>
      <c r="U96" s="272"/>
      <c r="V96" s="272"/>
      <c r="W96" s="272"/>
      <c r="X96" s="272"/>
      <c r="Y96" s="272"/>
      <c r="Z96" s="272"/>
      <c r="AA96" s="272"/>
      <c r="AB96" s="272"/>
      <c r="AC96" s="272"/>
      <c r="AD96" s="272"/>
      <c r="AE96" s="272"/>
      <c r="AF96" s="272"/>
      <c r="AG96" s="272"/>
      <c r="AH96" s="272"/>
      <c r="AI96" s="272"/>
      <c r="AJ96" s="272"/>
      <c r="AK96" s="272"/>
      <c r="AL96" s="272"/>
      <c r="AM96" s="272"/>
      <c r="AN96" s="272"/>
      <c r="AO96" s="272"/>
      <c r="AP96" s="272"/>
      <c r="AQ96" s="272"/>
      <c r="AR96" s="272"/>
      <c r="AS96" s="272"/>
      <c r="AT96" s="272"/>
      <c r="AU96" s="272"/>
      <c r="AV96" s="272"/>
      <c r="AW96" s="272"/>
      <c r="AX96" s="272"/>
      <c r="AY96" s="272"/>
      <c r="AZ96" s="272"/>
      <c r="BA96" s="279"/>
      <c r="BB96" s="279"/>
      <c r="BC96" s="279"/>
      <c r="BD96" s="279"/>
      <c r="BE96" s="279"/>
    </row>
    <row r="97" ht="14.25" customHeight="1">
      <c r="A97" s="22"/>
      <c r="B97" s="275"/>
      <c r="C97" s="275"/>
      <c r="D97" s="278"/>
      <c r="E97" s="278"/>
      <c r="F97" s="278"/>
      <c r="M97" s="279"/>
      <c r="N97" s="279"/>
      <c r="O97" s="279"/>
      <c r="P97" s="279"/>
      <c r="Q97" s="279"/>
      <c r="R97" s="279"/>
      <c r="S97" s="279"/>
      <c r="T97" s="279"/>
      <c r="U97" s="279"/>
      <c r="V97" s="279"/>
      <c r="W97" s="279"/>
      <c r="X97" s="279"/>
      <c r="Y97" s="279"/>
      <c r="Z97" s="279"/>
      <c r="AA97" s="279"/>
      <c r="AB97" s="279"/>
      <c r="AC97" s="279"/>
      <c r="AD97" s="279"/>
      <c r="AE97" s="279"/>
      <c r="AF97" s="279"/>
      <c r="AG97" s="279"/>
      <c r="AH97" s="279"/>
      <c r="AI97" s="279"/>
      <c r="AJ97" s="279"/>
      <c r="AK97" s="279"/>
      <c r="AL97" s="279"/>
      <c r="AM97" s="279"/>
      <c r="AN97" s="279"/>
      <c r="AO97" s="279"/>
      <c r="AP97" s="279"/>
      <c r="AQ97" s="279"/>
      <c r="AR97" s="279"/>
      <c r="AS97" s="279"/>
      <c r="AT97" s="279"/>
      <c r="AU97" s="279"/>
      <c r="AV97" s="279"/>
      <c r="AW97" s="279"/>
      <c r="AX97" s="279"/>
      <c r="AY97" s="279"/>
      <c r="AZ97" s="279"/>
      <c r="BA97" s="279"/>
      <c r="BB97" s="279"/>
      <c r="BC97" s="279"/>
      <c r="BD97" s="279"/>
      <c r="BE97" s="279"/>
    </row>
    <row r="98" ht="14.25" customHeight="1">
      <c r="A98" s="22"/>
      <c r="B98" s="279"/>
      <c r="C98" s="279"/>
      <c r="D98" s="279"/>
      <c r="E98" s="279"/>
      <c r="F98" s="279"/>
      <c r="M98" s="279"/>
      <c r="N98" s="279"/>
      <c r="O98" s="279"/>
      <c r="P98" s="279"/>
      <c r="Q98" s="279"/>
      <c r="R98" s="279"/>
      <c r="S98" s="279"/>
      <c r="T98" s="279"/>
      <c r="U98" s="279"/>
      <c r="V98" s="279"/>
      <c r="W98" s="279"/>
      <c r="X98" s="279"/>
      <c r="Y98" s="279"/>
      <c r="Z98" s="279"/>
      <c r="AA98" s="279"/>
      <c r="AB98" s="279"/>
      <c r="AC98" s="279"/>
      <c r="AD98" s="279"/>
      <c r="AE98" s="279"/>
      <c r="AF98" s="279"/>
      <c r="AG98" s="279"/>
      <c r="AH98" s="279"/>
      <c r="AI98" s="279"/>
      <c r="AJ98" s="279"/>
      <c r="AK98" s="279"/>
      <c r="AL98" s="279"/>
      <c r="AM98" s="279"/>
      <c r="AN98" s="279"/>
      <c r="AO98" s="279"/>
      <c r="AP98" s="279"/>
      <c r="AQ98" s="279"/>
      <c r="AR98" s="279"/>
      <c r="AS98" s="279"/>
      <c r="AT98" s="279"/>
      <c r="AU98" s="279"/>
      <c r="AV98" s="279"/>
      <c r="AW98" s="279"/>
      <c r="AX98" s="279"/>
      <c r="AY98" s="279"/>
      <c r="AZ98" s="279"/>
      <c r="BA98" s="279"/>
      <c r="BB98" s="279"/>
      <c r="BC98" s="279"/>
      <c r="BD98" s="279"/>
      <c r="BE98" s="279"/>
    </row>
    <row r="99" ht="14.25" customHeight="1">
      <c r="A99" s="22"/>
      <c r="B99" s="279"/>
      <c r="C99" s="279"/>
      <c r="D99" s="279"/>
      <c r="E99" s="279"/>
      <c r="F99" s="279"/>
      <c r="M99" s="279"/>
      <c r="N99" s="279"/>
      <c r="O99" s="279"/>
      <c r="P99" s="279"/>
      <c r="Q99" s="279"/>
      <c r="R99" s="279"/>
      <c r="S99" s="279"/>
      <c r="T99" s="279"/>
      <c r="U99" s="279"/>
      <c r="V99" s="279"/>
      <c r="W99" s="279"/>
      <c r="X99" s="279"/>
      <c r="Y99" s="279"/>
      <c r="Z99" s="279"/>
      <c r="AA99" s="279"/>
      <c r="AB99" s="279"/>
      <c r="AC99" s="279"/>
      <c r="AD99" s="279"/>
      <c r="AE99" s="279"/>
      <c r="AF99" s="279"/>
      <c r="AG99" s="279"/>
      <c r="AH99" s="279"/>
      <c r="AI99" s="279"/>
      <c r="AJ99" s="279"/>
      <c r="AK99" s="279"/>
      <c r="AL99" s="279"/>
      <c r="AM99" s="279"/>
      <c r="AN99" s="279"/>
      <c r="AO99" s="279"/>
      <c r="AP99" s="279"/>
      <c r="AQ99" s="279"/>
      <c r="AR99" s="279"/>
      <c r="AS99" s="279"/>
      <c r="AT99" s="279"/>
      <c r="AU99" s="279"/>
      <c r="AV99" s="279"/>
      <c r="AW99" s="279"/>
      <c r="AX99" s="279"/>
      <c r="AY99" s="279"/>
      <c r="AZ99" s="279"/>
      <c r="BA99" s="279"/>
      <c r="BB99" s="279"/>
      <c r="BC99" s="279"/>
      <c r="BD99" s="279"/>
      <c r="BE99" s="279"/>
    </row>
    <row r="100" ht="14.25" customHeight="1">
      <c r="A100" s="22"/>
      <c r="B100" s="279"/>
      <c r="C100" s="279"/>
      <c r="D100" s="279"/>
      <c r="E100" s="279"/>
      <c r="F100" s="279"/>
      <c r="G100" s="279"/>
      <c r="H100" s="279"/>
      <c r="I100" s="279"/>
      <c r="J100" s="279"/>
      <c r="K100" s="279"/>
      <c r="L100" s="279"/>
      <c r="M100" s="279"/>
      <c r="N100" s="279"/>
      <c r="O100" s="279"/>
      <c r="P100" s="279"/>
      <c r="Q100" s="279"/>
      <c r="R100" s="279"/>
      <c r="S100" s="279"/>
      <c r="T100" s="279"/>
      <c r="U100" s="279"/>
      <c r="V100" s="279"/>
      <c r="W100" s="279"/>
      <c r="X100" s="279"/>
      <c r="Y100" s="279"/>
      <c r="Z100" s="279"/>
      <c r="AA100" s="279"/>
      <c r="AB100" s="279"/>
      <c r="AC100" s="279"/>
      <c r="AD100" s="279"/>
      <c r="AE100" s="279"/>
      <c r="AF100" s="279"/>
      <c r="AG100" s="279"/>
      <c r="AH100" s="279"/>
      <c r="AI100" s="279"/>
      <c r="AJ100" s="279"/>
      <c r="AK100" s="279"/>
      <c r="AL100" s="279"/>
      <c r="AM100" s="279"/>
      <c r="AN100" s="279"/>
      <c r="AO100" s="279"/>
      <c r="AP100" s="279"/>
      <c r="AQ100" s="279"/>
      <c r="AR100" s="279"/>
      <c r="AS100" s="279"/>
      <c r="AT100" s="279"/>
      <c r="AU100" s="279"/>
      <c r="AV100" s="279"/>
      <c r="AW100" s="279"/>
      <c r="AX100" s="279"/>
      <c r="AY100" s="279"/>
      <c r="AZ100" s="279"/>
      <c r="BA100" s="279"/>
      <c r="BB100" s="279"/>
      <c r="BC100" s="279"/>
      <c r="BD100" s="279"/>
      <c r="BE100" s="279"/>
    </row>
    <row r="101" ht="14.25" customHeight="1">
      <c r="A101" s="22"/>
      <c r="B101" s="276"/>
      <c r="C101" s="279"/>
      <c r="D101" s="279"/>
      <c r="E101" s="279"/>
      <c r="F101" s="279"/>
      <c r="G101" s="279"/>
      <c r="H101" s="279"/>
      <c r="I101" s="279"/>
      <c r="J101" s="279"/>
      <c r="K101" s="279"/>
      <c r="L101" s="279"/>
      <c r="M101" s="279"/>
      <c r="N101" s="279"/>
      <c r="O101" s="279"/>
      <c r="P101" s="279"/>
      <c r="Q101" s="279"/>
      <c r="R101" s="279"/>
      <c r="S101" s="279"/>
      <c r="T101" s="279"/>
      <c r="U101" s="279"/>
      <c r="V101" s="279"/>
      <c r="W101" s="279"/>
      <c r="X101" s="279"/>
      <c r="Y101" s="279"/>
      <c r="Z101" s="279"/>
      <c r="AA101" s="279"/>
      <c r="AB101" s="279"/>
      <c r="AC101" s="279"/>
      <c r="AD101" s="279"/>
      <c r="AE101" s="279"/>
      <c r="AF101" s="279"/>
      <c r="AG101" s="279"/>
      <c r="AH101" s="279"/>
      <c r="AI101" s="279"/>
      <c r="AJ101" s="279"/>
      <c r="AK101" s="279"/>
      <c r="AL101" s="279"/>
      <c r="AM101" s="279"/>
      <c r="AN101" s="279"/>
      <c r="AO101" s="279"/>
      <c r="AP101" s="279"/>
      <c r="AQ101" s="279"/>
      <c r="AR101" s="279"/>
      <c r="AS101" s="279"/>
      <c r="AT101" s="279"/>
      <c r="AU101" s="279"/>
      <c r="AV101" s="279"/>
      <c r="AW101" s="279"/>
      <c r="AX101" s="279"/>
      <c r="AY101" s="279"/>
      <c r="AZ101" s="279"/>
      <c r="BA101" s="279"/>
      <c r="BB101" s="279"/>
      <c r="BC101" s="279"/>
      <c r="BD101" s="279"/>
      <c r="BE101" s="279"/>
      <c r="BF101" s="279"/>
    </row>
    <row r="102" ht="14.25" customHeight="1"/>
    <row r="103" ht="14.25" customHeight="1">
      <c r="A103" s="136"/>
      <c r="B103" s="136"/>
      <c r="C103" s="136"/>
      <c r="D103" s="136"/>
      <c r="E103" s="136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</row>
    <row r="104" ht="14.25" customHeight="1">
      <c r="A104" s="22"/>
      <c r="B104" s="136"/>
      <c r="C104" s="136"/>
      <c r="D104" s="136"/>
      <c r="E104" s="136"/>
      <c r="F104" s="136"/>
      <c r="G104" s="279"/>
      <c r="H104" s="279"/>
      <c r="I104" s="279"/>
      <c r="J104" s="279"/>
      <c r="K104" s="279"/>
      <c r="L104" s="279"/>
      <c r="M104" s="279"/>
      <c r="N104" s="279"/>
      <c r="O104" s="279"/>
      <c r="P104" s="279"/>
      <c r="Q104" s="279"/>
      <c r="R104" s="279"/>
      <c r="S104" s="279"/>
      <c r="T104" s="279"/>
      <c r="U104" s="279"/>
      <c r="V104" s="279"/>
      <c r="W104" s="279"/>
      <c r="X104" s="279"/>
      <c r="Y104" s="279"/>
      <c r="Z104" s="279"/>
      <c r="AA104" s="279"/>
      <c r="AB104" s="279"/>
      <c r="AC104" s="279"/>
      <c r="AD104" s="279"/>
      <c r="AE104" s="279"/>
      <c r="AF104" s="279"/>
      <c r="AG104" s="279"/>
      <c r="AH104" s="279"/>
      <c r="AI104" s="279"/>
      <c r="AJ104" s="279"/>
      <c r="AK104" s="279"/>
      <c r="AL104" s="279"/>
      <c r="AM104" s="279"/>
      <c r="AN104" s="279"/>
      <c r="AO104" s="279"/>
      <c r="AP104" s="279"/>
      <c r="AQ104" s="279"/>
      <c r="AR104" s="279"/>
      <c r="AS104" s="279"/>
      <c r="AT104" s="279"/>
      <c r="AU104" s="279"/>
      <c r="AV104" s="279"/>
      <c r="AW104" s="279"/>
      <c r="AX104" s="279"/>
      <c r="AY104" s="279"/>
      <c r="AZ104" s="279"/>
      <c r="BA104" s="279"/>
      <c r="BB104" s="279"/>
      <c r="BC104" s="279"/>
      <c r="BD104" s="279"/>
      <c r="BE104" s="279"/>
      <c r="BF104" s="279"/>
    </row>
    <row r="105" ht="14.25" customHeight="1">
      <c r="A105" s="22"/>
      <c r="B105" s="136"/>
      <c r="C105" s="136"/>
      <c r="D105" s="136"/>
      <c r="E105" s="136"/>
      <c r="F105" s="279"/>
      <c r="G105" s="279"/>
      <c r="H105" s="279"/>
      <c r="I105" s="279"/>
      <c r="J105" s="279"/>
      <c r="K105" s="279"/>
      <c r="L105" s="279"/>
      <c r="M105" s="279"/>
      <c r="N105" s="279"/>
      <c r="O105" s="279"/>
      <c r="P105" s="279"/>
      <c r="Q105" s="279"/>
      <c r="R105" s="279"/>
      <c r="S105" s="279"/>
      <c r="T105" s="279"/>
      <c r="U105" s="279"/>
      <c r="V105" s="279"/>
      <c r="W105" s="279"/>
      <c r="X105" s="279"/>
      <c r="Y105" s="279"/>
      <c r="Z105" s="279"/>
      <c r="AA105" s="279"/>
      <c r="AB105" s="279"/>
      <c r="AC105" s="279"/>
      <c r="AD105" s="279"/>
      <c r="AE105" s="279"/>
      <c r="AF105" s="279"/>
      <c r="AG105" s="279"/>
      <c r="AH105" s="279"/>
      <c r="AI105" s="279"/>
      <c r="AJ105" s="279"/>
      <c r="AK105" s="279"/>
      <c r="AL105" s="279"/>
      <c r="AM105" s="279"/>
      <c r="AN105" s="279"/>
      <c r="AO105" s="279"/>
      <c r="AP105" s="279"/>
      <c r="AQ105" s="279"/>
      <c r="AR105" s="279"/>
      <c r="AS105" s="279"/>
      <c r="AT105" s="279"/>
      <c r="AU105" s="279"/>
      <c r="AV105" s="279"/>
      <c r="AW105" s="279"/>
      <c r="AX105" s="279"/>
      <c r="AY105" s="279"/>
      <c r="AZ105" s="279"/>
      <c r="BA105" s="279"/>
      <c r="BB105" s="279"/>
      <c r="BC105" s="279"/>
      <c r="BD105" s="279"/>
      <c r="BE105" s="279"/>
      <c r="BF105" s="279"/>
    </row>
    <row r="106" ht="14.25" customHeight="1">
      <c r="A106" s="22"/>
      <c r="B106" s="136"/>
      <c r="C106" s="136"/>
      <c r="D106" s="136"/>
      <c r="E106" s="279"/>
      <c r="F106" s="279"/>
      <c r="G106" s="279"/>
      <c r="H106" s="279"/>
      <c r="I106" s="279"/>
      <c r="J106" s="279"/>
      <c r="K106" s="279"/>
      <c r="L106" s="279"/>
      <c r="M106" s="279"/>
      <c r="N106" s="279"/>
      <c r="O106" s="279"/>
      <c r="P106" s="279"/>
      <c r="Q106" s="279"/>
      <c r="R106" s="279"/>
      <c r="S106" s="279"/>
      <c r="T106" s="279"/>
      <c r="U106" s="279"/>
      <c r="V106" s="279"/>
      <c r="W106" s="279"/>
      <c r="X106" s="279"/>
      <c r="Y106" s="279"/>
      <c r="Z106" s="279"/>
      <c r="AA106" s="279"/>
      <c r="AB106" s="279"/>
      <c r="AC106" s="279"/>
      <c r="AD106" s="279"/>
      <c r="AE106" s="279"/>
      <c r="AF106" s="279"/>
      <c r="AG106" s="279"/>
      <c r="AH106" s="279"/>
      <c r="AI106" s="279"/>
      <c r="AJ106" s="279"/>
      <c r="AK106" s="279"/>
      <c r="AL106" s="279"/>
      <c r="AM106" s="279"/>
      <c r="AN106" s="279"/>
      <c r="AO106" s="279"/>
      <c r="AP106" s="279"/>
      <c r="AQ106" s="279"/>
      <c r="AR106" s="279"/>
      <c r="AS106" s="279"/>
      <c r="AT106" s="279"/>
      <c r="AU106" s="279"/>
      <c r="AV106" s="279"/>
      <c r="AW106" s="279"/>
      <c r="AX106" s="279"/>
      <c r="AY106" s="279"/>
      <c r="AZ106" s="279"/>
      <c r="BA106" s="279"/>
      <c r="BB106" s="279"/>
      <c r="BC106" s="279"/>
      <c r="BD106" s="279"/>
      <c r="BE106" s="279"/>
      <c r="BF106" s="279"/>
    </row>
    <row r="107" ht="14.25" customHeight="1">
      <c r="A107" s="22"/>
      <c r="B107" s="136"/>
      <c r="C107" s="136"/>
      <c r="D107" s="136"/>
      <c r="E107" s="136"/>
      <c r="F107" s="279"/>
      <c r="G107" s="279"/>
      <c r="H107" s="279"/>
      <c r="I107" s="279"/>
      <c r="J107" s="279"/>
      <c r="K107" s="279"/>
      <c r="L107" s="279"/>
      <c r="M107" s="279"/>
      <c r="N107" s="279"/>
      <c r="O107" s="279"/>
      <c r="P107" s="279"/>
      <c r="Q107" s="279"/>
      <c r="R107" s="279"/>
      <c r="S107" s="279"/>
      <c r="T107" s="279"/>
      <c r="U107" s="279"/>
      <c r="V107" s="279"/>
      <c r="W107" s="279"/>
      <c r="X107" s="279"/>
      <c r="Y107" s="279"/>
      <c r="Z107" s="279"/>
      <c r="AA107" s="279"/>
      <c r="AB107" s="279"/>
      <c r="AC107" s="279"/>
      <c r="AD107" s="279"/>
      <c r="AE107" s="279"/>
      <c r="AF107" s="279"/>
      <c r="AG107" s="279"/>
      <c r="AH107" s="279"/>
      <c r="AI107" s="279"/>
      <c r="AJ107" s="279"/>
      <c r="AK107" s="279"/>
      <c r="AL107" s="279"/>
      <c r="AM107" s="279"/>
      <c r="AN107" s="279"/>
      <c r="AO107" s="279"/>
      <c r="AP107" s="279"/>
      <c r="AQ107" s="279"/>
      <c r="AR107" s="279"/>
      <c r="AS107" s="279"/>
      <c r="AT107" s="279"/>
      <c r="AU107" s="279"/>
      <c r="AV107" s="279"/>
      <c r="AW107" s="279"/>
      <c r="AX107" s="279"/>
      <c r="AY107" s="279"/>
      <c r="AZ107" s="279"/>
      <c r="BA107" s="279"/>
      <c r="BB107" s="279"/>
      <c r="BC107" s="279"/>
      <c r="BD107" s="279"/>
      <c r="BE107" s="279"/>
      <c r="BF107" s="279"/>
    </row>
    <row r="108" ht="14.25" customHeight="1">
      <c r="A108" s="22"/>
      <c r="B108" s="136"/>
      <c r="C108" s="279"/>
      <c r="D108" s="279"/>
      <c r="E108" s="279"/>
      <c r="F108" s="279"/>
      <c r="G108" s="279"/>
      <c r="H108" s="279"/>
      <c r="I108" s="279"/>
      <c r="J108" s="279"/>
      <c r="K108" s="279"/>
      <c r="L108" s="279"/>
      <c r="M108" s="279"/>
      <c r="N108" s="279"/>
      <c r="O108" s="279"/>
      <c r="P108" s="279"/>
      <c r="Q108" s="279"/>
      <c r="R108" s="279"/>
      <c r="S108" s="279"/>
      <c r="T108" s="279"/>
      <c r="U108" s="279"/>
      <c r="V108" s="279"/>
      <c r="W108" s="279"/>
      <c r="X108" s="279"/>
      <c r="Y108" s="279"/>
      <c r="Z108" s="279"/>
      <c r="AA108" s="279"/>
      <c r="AB108" s="279"/>
      <c r="AC108" s="279"/>
      <c r="AD108" s="279"/>
      <c r="AE108" s="279"/>
      <c r="AF108" s="279"/>
      <c r="AG108" s="279"/>
      <c r="AH108" s="279"/>
      <c r="AI108" s="279"/>
      <c r="AJ108" s="279"/>
      <c r="AK108" s="279"/>
      <c r="AL108" s="279"/>
      <c r="AM108" s="279"/>
      <c r="AN108" s="279"/>
      <c r="AO108" s="279"/>
      <c r="AP108" s="279"/>
      <c r="AQ108" s="279"/>
      <c r="AR108" s="279"/>
      <c r="AS108" s="279"/>
      <c r="AT108" s="279"/>
      <c r="AU108" s="279"/>
      <c r="AV108" s="279"/>
      <c r="AW108" s="279"/>
      <c r="AX108" s="279"/>
      <c r="AY108" s="279"/>
      <c r="AZ108" s="279"/>
      <c r="BA108" s="279"/>
      <c r="BB108" s="279"/>
      <c r="BC108" s="279"/>
      <c r="BD108" s="279"/>
      <c r="BE108" s="279"/>
      <c r="BF108" s="279"/>
    </row>
    <row r="109" ht="14.25" customHeight="1">
      <c r="A109" s="22"/>
      <c r="B109" s="136"/>
      <c r="C109" s="136"/>
      <c r="D109" s="279"/>
      <c r="E109" s="279"/>
      <c r="F109" s="279"/>
      <c r="G109" s="279"/>
      <c r="H109" s="279"/>
      <c r="I109" s="279"/>
      <c r="J109" s="279"/>
      <c r="K109" s="279"/>
      <c r="L109" s="279"/>
      <c r="M109" s="279"/>
      <c r="N109" s="279"/>
      <c r="O109" s="279"/>
      <c r="P109" s="279"/>
      <c r="Q109" s="279"/>
      <c r="R109" s="279"/>
      <c r="S109" s="279"/>
      <c r="T109" s="279"/>
      <c r="U109" s="279"/>
      <c r="V109" s="279"/>
      <c r="W109" s="279"/>
      <c r="X109" s="279"/>
      <c r="Y109" s="279"/>
      <c r="Z109" s="279"/>
      <c r="AA109" s="279"/>
      <c r="AB109" s="279"/>
      <c r="AC109" s="279"/>
      <c r="AD109" s="279"/>
      <c r="AE109" s="279"/>
      <c r="AF109" s="279"/>
      <c r="AG109" s="279"/>
      <c r="AH109" s="279"/>
      <c r="AI109" s="279"/>
      <c r="AJ109" s="279"/>
      <c r="AK109" s="279"/>
      <c r="AL109" s="279"/>
      <c r="AM109" s="279"/>
      <c r="AN109" s="279"/>
      <c r="AO109" s="279"/>
      <c r="AP109" s="279"/>
      <c r="AQ109" s="279"/>
      <c r="AR109" s="279"/>
      <c r="AS109" s="279"/>
      <c r="AT109" s="279"/>
      <c r="AU109" s="279"/>
      <c r="AV109" s="279"/>
      <c r="AW109" s="279"/>
      <c r="AX109" s="279"/>
      <c r="AY109" s="279"/>
      <c r="AZ109" s="279"/>
      <c r="BA109" s="279"/>
      <c r="BB109" s="279"/>
      <c r="BC109" s="279"/>
      <c r="BD109" s="279"/>
      <c r="BE109" s="279"/>
      <c r="BF109" s="279"/>
    </row>
    <row r="110" ht="14.25" customHeight="1">
      <c r="A110" s="22"/>
      <c r="B110" s="276"/>
      <c r="C110" s="279"/>
      <c r="D110" s="279"/>
      <c r="E110" s="279"/>
      <c r="F110" s="279"/>
      <c r="G110" s="279"/>
      <c r="H110" s="279"/>
      <c r="I110" s="279"/>
      <c r="J110" s="279"/>
      <c r="K110" s="279"/>
      <c r="L110" s="279"/>
      <c r="M110" s="279"/>
      <c r="N110" s="279"/>
      <c r="O110" s="279"/>
      <c r="P110" s="279"/>
      <c r="Q110" s="279"/>
      <c r="R110" s="279"/>
      <c r="S110" s="279"/>
      <c r="T110" s="279"/>
      <c r="U110" s="279"/>
      <c r="V110" s="279"/>
      <c r="W110" s="279"/>
      <c r="X110" s="279"/>
      <c r="Y110" s="279"/>
      <c r="Z110" s="279"/>
      <c r="AA110" s="279"/>
      <c r="AB110" s="279"/>
      <c r="AC110" s="279"/>
      <c r="AD110" s="279"/>
      <c r="AE110" s="279"/>
      <c r="AF110" s="279"/>
      <c r="AG110" s="279"/>
      <c r="AH110" s="279"/>
      <c r="AI110" s="279"/>
      <c r="AJ110" s="279"/>
      <c r="AK110" s="279"/>
      <c r="AL110" s="279"/>
      <c r="AM110" s="279"/>
      <c r="AN110" s="279"/>
      <c r="AO110" s="279"/>
      <c r="AP110" s="279"/>
      <c r="AQ110" s="279"/>
      <c r="AR110" s="279"/>
      <c r="AS110" s="279"/>
      <c r="AT110" s="279"/>
      <c r="AU110" s="279"/>
      <c r="AV110" s="279"/>
      <c r="AW110" s="279"/>
      <c r="AX110" s="279"/>
      <c r="AY110" s="279"/>
      <c r="AZ110" s="279"/>
      <c r="BA110" s="279"/>
      <c r="BB110" s="279"/>
      <c r="BC110" s="279"/>
      <c r="BD110" s="279"/>
      <c r="BE110" s="279"/>
      <c r="BF110" s="279"/>
    </row>
    <row r="111" ht="14.25" customHeight="1">
      <c r="A111" s="22"/>
      <c r="B111" s="136"/>
      <c r="C111" s="279"/>
      <c r="D111" s="279"/>
      <c r="E111" s="279"/>
      <c r="F111" s="279"/>
      <c r="G111" s="279"/>
      <c r="H111" s="279"/>
      <c r="I111" s="279"/>
      <c r="J111" s="279"/>
      <c r="K111" s="279"/>
      <c r="L111" s="279"/>
      <c r="M111" s="279"/>
      <c r="N111" s="279"/>
      <c r="O111" s="279"/>
      <c r="P111" s="279"/>
      <c r="Q111" s="279"/>
      <c r="R111" s="279"/>
      <c r="S111" s="279"/>
      <c r="T111" s="279"/>
      <c r="U111" s="279"/>
      <c r="V111" s="279"/>
      <c r="W111" s="279"/>
      <c r="X111" s="279"/>
      <c r="Y111" s="279"/>
      <c r="Z111" s="279"/>
      <c r="AA111" s="279"/>
      <c r="AB111" s="279"/>
      <c r="AC111" s="279"/>
      <c r="AD111" s="279"/>
      <c r="AE111" s="279"/>
      <c r="AF111" s="279"/>
      <c r="AG111" s="279"/>
      <c r="AH111" s="279"/>
      <c r="AI111" s="279"/>
      <c r="AJ111" s="279"/>
      <c r="AK111" s="279"/>
      <c r="AL111" s="279"/>
      <c r="AM111" s="279"/>
      <c r="AN111" s="279"/>
      <c r="AO111" s="279"/>
      <c r="AP111" s="279"/>
      <c r="AQ111" s="279"/>
      <c r="AR111" s="279"/>
      <c r="AS111" s="279"/>
      <c r="AT111" s="279"/>
      <c r="AU111" s="279"/>
      <c r="AV111" s="279"/>
      <c r="AW111" s="279"/>
      <c r="AX111" s="279"/>
      <c r="AY111" s="279"/>
      <c r="AZ111" s="279"/>
      <c r="BA111" s="279"/>
      <c r="BB111" s="279"/>
      <c r="BC111" s="279"/>
      <c r="BD111" s="279"/>
      <c r="BE111" s="279"/>
      <c r="BF111" s="279"/>
    </row>
    <row r="112" ht="14.25" customHeight="1">
      <c r="A112" s="22"/>
      <c r="B112" s="136"/>
      <c r="C112" s="279"/>
      <c r="D112" s="279"/>
      <c r="E112" s="279"/>
      <c r="F112" s="279"/>
      <c r="G112" s="279"/>
      <c r="H112" s="279"/>
      <c r="I112" s="279"/>
      <c r="J112" s="279"/>
      <c r="K112" s="279"/>
      <c r="L112" s="279"/>
      <c r="M112" s="279"/>
      <c r="N112" s="279"/>
      <c r="O112" s="279"/>
      <c r="P112" s="279"/>
      <c r="Q112" s="279"/>
      <c r="R112" s="279"/>
      <c r="S112" s="279"/>
      <c r="T112" s="279"/>
      <c r="U112" s="279"/>
      <c r="V112" s="279"/>
      <c r="W112" s="279"/>
      <c r="X112" s="279"/>
      <c r="Y112" s="279"/>
      <c r="Z112" s="279"/>
      <c r="AA112" s="279"/>
      <c r="AB112" s="279"/>
      <c r="AC112" s="279"/>
      <c r="AD112" s="279"/>
      <c r="AE112" s="279"/>
      <c r="AF112" s="279"/>
      <c r="AG112" s="279"/>
      <c r="AH112" s="279"/>
      <c r="AI112" s="279"/>
      <c r="AJ112" s="279"/>
      <c r="AK112" s="279"/>
      <c r="AL112" s="279"/>
      <c r="AM112" s="279"/>
      <c r="AN112" s="279"/>
      <c r="AO112" s="279"/>
      <c r="AP112" s="279"/>
      <c r="AQ112" s="279"/>
      <c r="AR112" s="279"/>
      <c r="AS112" s="279"/>
      <c r="AT112" s="279"/>
      <c r="AU112" s="279"/>
      <c r="AV112" s="279"/>
      <c r="AW112" s="279"/>
      <c r="AX112" s="279"/>
      <c r="AY112" s="279"/>
      <c r="AZ112" s="279"/>
      <c r="BA112" s="279"/>
      <c r="BB112" s="279"/>
      <c r="BC112" s="279"/>
      <c r="BD112" s="279"/>
      <c r="BE112" s="279"/>
      <c r="BF112" s="279"/>
    </row>
    <row r="113" ht="14.25" customHeight="1">
      <c r="A113" s="22"/>
      <c r="B113" s="276"/>
      <c r="C113" s="279"/>
      <c r="D113" s="279"/>
      <c r="E113" s="279"/>
      <c r="F113" s="279"/>
      <c r="G113" s="279"/>
      <c r="H113" s="279"/>
      <c r="I113" s="279"/>
      <c r="J113" s="279"/>
      <c r="K113" s="279"/>
      <c r="L113" s="279"/>
      <c r="M113" s="279"/>
      <c r="N113" s="279"/>
      <c r="O113" s="279"/>
      <c r="P113" s="279"/>
      <c r="Q113" s="279"/>
      <c r="R113" s="279"/>
      <c r="S113" s="279"/>
      <c r="T113" s="279"/>
      <c r="U113" s="279"/>
      <c r="V113" s="279"/>
      <c r="W113" s="279"/>
      <c r="X113" s="279"/>
      <c r="Y113" s="279"/>
      <c r="Z113" s="279"/>
      <c r="AA113" s="279"/>
      <c r="AB113" s="279"/>
      <c r="AC113" s="279"/>
      <c r="AD113" s="279"/>
      <c r="AE113" s="279"/>
      <c r="AF113" s="279"/>
      <c r="AG113" s="279"/>
      <c r="AH113" s="279"/>
      <c r="AI113" s="279"/>
      <c r="AJ113" s="279"/>
      <c r="AK113" s="279"/>
      <c r="AL113" s="279"/>
      <c r="AM113" s="279"/>
      <c r="AN113" s="279"/>
      <c r="AO113" s="279"/>
      <c r="AP113" s="279"/>
      <c r="AQ113" s="279"/>
      <c r="AR113" s="279"/>
      <c r="AS113" s="279"/>
      <c r="AT113" s="279"/>
      <c r="AU113" s="279"/>
      <c r="AV113" s="279"/>
      <c r="AW113" s="279"/>
      <c r="AX113" s="279"/>
      <c r="AY113" s="279"/>
      <c r="AZ113" s="279"/>
      <c r="BA113" s="279"/>
      <c r="BB113" s="279"/>
      <c r="BC113" s="279"/>
      <c r="BD113" s="279"/>
      <c r="BE113" s="279"/>
      <c r="BF113" s="279"/>
    </row>
    <row r="114" ht="14.25" customHeight="1">
      <c r="A114" s="22"/>
      <c r="B114" s="136"/>
      <c r="C114" s="279"/>
      <c r="D114" s="279"/>
      <c r="E114" s="279"/>
      <c r="F114" s="279"/>
      <c r="G114" s="279"/>
      <c r="H114" s="279"/>
      <c r="I114" s="279"/>
      <c r="J114" s="279"/>
      <c r="K114" s="279"/>
      <c r="L114" s="279"/>
      <c r="M114" s="279"/>
      <c r="N114" s="279"/>
      <c r="O114" s="279"/>
      <c r="P114" s="279"/>
      <c r="Q114" s="279"/>
      <c r="R114" s="279"/>
      <c r="S114" s="279"/>
      <c r="T114" s="279"/>
      <c r="U114" s="279"/>
      <c r="V114" s="279"/>
      <c r="W114" s="279"/>
      <c r="X114" s="279"/>
      <c r="Y114" s="279"/>
      <c r="Z114" s="279"/>
      <c r="AA114" s="279"/>
      <c r="AB114" s="279"/>
      <c r="AC114" s="279"/>
      <c r="AD114" s="279"/>
      <c r="AE114" s="279"/>
      <c r="AF114" s="279"/>
      <c r="AG114" s="279"/>
      <c r="AH114" s="279"/>
      <c r="AI114" s="279"/>
      <c r="AJ114" s="279"/>
      <c r="AK114" s="279"/>
      <c r="AL114" s="279"/>
      <c r="AM114" s="279"/>
      <c r="AN114" s="279"/>
      <c r="AO114" s="279"/>
      <c r="AP114" s="279"/>
      <c r="AQ114" s="279"/>
      <c r="AR114" s="279"/>
      <c r="AS114" s="279"/>
      <c r="AT114" s="279"/>
      <c r="AU114" s="279"/>
      <c r="AV114" s="279"/>
      <c r="AW114" s="279"/>
      <c r="AX114" s="279"/>
      <c r="AY114" s="279"/>
      <c r="AZ114" s="279"/>
      <c r="BA114" s="279"/>
      <c r="BB114" s="279"/>
      <c r="BC114" s="279"/>
      <c r="BD114" s="279"/>
      <c r="BE114" s="279"/>
      <c r="BF114" s="279"/>
    </row>
    <row r="115" ht="14.25" customHeight="1">
      <c r="A115" s="22"/>
      <c r="B115" s="276"/>
      <c r="C115" s="279"/>
      <c r="D115" s="279"/>
      <c r="E115" s="279"/>
      <c r="F115" s="279"/>
      <c r="G115" s="279"/>
      <c r="H115" s="279"/>
      <c r="I115" s="279"/>
      <c r="J115" s="279"/>
      <c r="K115" s="279"/>
      <c r="L115" s="279"/>
      <c r="M115" s="279"/>
      <c r="N115" s="279"/>
      <c r="O115" s="279"/>
      <c r="P115" s="279"/>
      <c r="Q115" s="279"/>
      <c r="R115" s="279"/>
      <c r="S115" s="279"/>
      <c r="T115" s="279"/>
      <c r="U115" s="279"/>
      <c r="V115" s="279"/>
      <c r="W115" s="279"/>
      <c r="X115" s="279"/>
      <c r="Y115" s="279"/>
      <c r="Z115" s="279"/>
      <c r="AA115" s="279"/>
      <c r="AB115" s="279"/>
      <c r="AC115" s="279"/>
      <c r="AD115" s="279"/>
      <c r="AE115" s="279"/>
      <c r="AF115" s="279"/>
      <c r="AG115" s="279"/>
      <c r="AH115" s="279"/>
      <c r="AI115" s="279"/>
      <c r="AJ115" s="279"/>
      <c r="AK115" s="279"/>
      <c r="AL115" s="279"/>
      <c r="AM115" s="279"/>
      <c r="AN115" s="279"/>
      <c r="AO115" s="279"/>
      <c r="AP115" s="279"/>
      <c r="AQ115" s="279"/>
      <c r="AR115" s="279"/>
      <c r="AS115" s="279"/>
      <c r="AT115" s="279"/>
      <c r="AU115" s="279"/>
      <c r="AV115" s="279"/>
      <c r="AW115" s="279"/>
      <c r="AX115" s="279"/>
      <c r="AY115" s="279"/>
      <c r="AZ115" s="279"/>
      <c r="BA115" s="279"/>
      <c r="BB115" s="279"/>
      <c r="BC115" s="279"/>
      <c r="BD115" s="279"/>
      <c r="BE115" s="279"/>
      <c r="BF115" s="279"/>
    </row>
    <row r="116" ht="14.25" customHeight="1">
      <c r="A116" s="22"/>
      <c r="B116" s="136"/>
      <c r="C116" s="136"/>
      <c r="D116" s="279"/>
      <c r="E116" s="279"/>
      <c r="F116" s="279"/>
      <c r="G116" s="279"/>
      <c r="H116" s="279"/>
      <c r="I116" s="279"/>
      <c r="J116" s="279"/>
      <c r="K116" s="279"/>
      <c r="L116" s="279"/>
      <c r="M116" s="279"/>
      <c r="N116" s="279"/>
      <c r="O116" s="279"/>
      <c r="P116" s="279"/>
      <c r="Q116" s="279"/>
      <c r="R116" s="279"/>
      <c r="S116" s="279"/>
      <c r="T116" s="279"/>
      <c r="U116" s="279"/>
      <c r="V116" s="279"/>
      <c r="W116" s="279"/>
      <c r="X116" s="279"/>
      <c r="Y116" s="279"/>
      <c r="Z116" s="279"/>
      <c r="AA116" s="279"/>
      <c r="AB116" s="279"/>
      <c r="AC116" s="279"/>
      <c r="AD116" s="279"/>
      <c r="AE116" s="279"/>
      <c r="AF116" s="279"/>
      <c r="AG116" s="279"/>
      <c r="AH116" s="279"/>
      <c r="AI116" s="279"/>
      <c r="AJ116" s="279"/>
      <c r="AK116" s="279"/>
      <c r="AL116" s="279"/>
      <c r="AM116" s="279"/>
      <c r="AN116" s="279"/>
      <c r="AO116" s="279"/>
      <c r="AP116" s="279"/>
      <c r="AQ116" s="279"/>
      <c r="AR116" s="279"/>
      <c r="AS116" s="279"/>
      <c r="AT116" s="279"/>
      <c r="AU116" s="279"/>
      <c r="AV116" s="279"/>
      <c r="AW116" s="279"/>
      <c r="AX116" s="279"/>
      <c r="AY116" s="279"/>
      <c r="AZ116" s="279"/>
      <c r="BA116" s="279"/>
      <c r="BB116" s="279"/>
      <c r="BC116" s="279"/>
      <c r="BD116" s="279"/>
      <c r="BE116" s="279"/>
      <c r="BF116" s="279"/>
    </row>
    <row r="117" ht="14.25" customHeight="1">
      <c r="A117" s="22"/>
      <c r="B117" s="136"/>
      <c r="C117" s="136"/>
      <c r="D117" s="272"/>
      <c r="E117" s="272"/>
      <c r="F117" s="272"/>
      <c r="G117" s="272"/>
      <c r="H117" s="272"/>
      <c r="I117" s="272"/>
      <c r="J117" s="272"/>
      <c r="K117" s="272"/>
      <c r="L117" s="272"/>
      <c r="M117" s="272"/>
      <c r="N117" s="272"/>
      <c r="O117" s="272"/>
      <c r="P117" s="272"/>
      <c r="Q117" s="272"/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  <c r="AB117" s="272"/>
      <c r="AC117" s="272"/>
      <c r="AD117" s="272"/>
      <c r="AE117" s="272"/>
      <c r="AF117" s="272"/>
      <c r="AG117" s="272"/>
      <c r="AH117" s="272"/>
      <c r="AI117" s="272"/>
      <c r="AJ117" s="272"/>
      <c r="AK117" s="272"/>
      <c r="AL117" s="272"/>
      <c r="AM117" s="272"/>
      <c r="AN117" s="272"/>
      <c r="AO117" s="272"/>
      <c r="AP117" s="272"/>
      <c r="AQ117" s="272"/>
      <c r="AR117" s="272"/>
      <c r="AS117" s="272"/>
      <c r="AT117" s="272"/>
      <c r="AU117" s="272"/>
      <c r="AV117" s="272"/>
      <c r="AW117" s="272"/>
      <c r="AX117" s="272"/>
      <c r="AY117" s="272"/>
      <c r="AZ117" s="272"/>
      <c r="BA117" s="272"/>
      <c r="BB117" s="279"/>
      <c r="BC117" s="279"/>
      <c r="BD117" s="279"/>
      <c r="BE117" s="279"/>
      <c r="BF117" s="279"/>
    </row>
    <row r="118" ht="14.25" customHeight="1">
      <c r="A118" s="22"/>
      <c r="B118" s="276"/>
      <c r="C118" s="279"/>
      <c r="D118" s="279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  <c r="AA118" s="279"/>
      <c r="AB118" s="279"/>
      <c r="AC118" s="279"/>
      <c r="AD118" s="279"/>
      <c r="AE118" s="279"/>
      <c r="AF118" s="279"/>
      <c r="AG118" s="279"/>
      <c r="AH118" s="279"/>
      <c r="AI118" s="279"/>
      <c r="AJ118" s="279"/>
      <c r="AK118" s="279"/>
      <c r="AL118" s="279"/>
      <c r="AM118" s="279"/>
      <c r="AN118" s="279"/>
      <c r="AO118" s="279"/>
      <c r="AP118" s="279"/>
      <c r="AQ118" s="279"/>
      <c r="AR118" s="279"/>
      <c r="AS118" s="279"/>
      <c r="AT118" s="279"/>
      <c r="AU118" s="279"/>
      <c r="AV118" s="279"/>
      <c r="AW118" s="279"/>
      <c r="AX118" s="279"/>
      <c r="AY118" s="279"/>
      <c r="AZ118" s="279"/>
      <c r="BA118" s="279"/>
      <c r="BB118" s="279"/>
      <c r="BC118" s="279"/>
      <c r="BD118" s="279"/>
      <c r="BE118" s="279"/>
      <c r="BF118" s="279"/>
    </row>
    <row r="119" ht="14.25" customHeight="1">
      <c r="A119" s="22"/>
      <c r="B119" s="276"/>
      <c r="C119" s="279"/>
      <c r="D119" s="279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  <c r="AA119" s="279"/>
      <c r="AB119" s="279"/>
      <c r="AC119" s="279"/>
      <c r="AD119" s="279"/>
      <c r="AE119" s="279"/>
      <c r="AF119" s="279"/>
      <c r="AG119" s="279"/>
      <c r="AH119" s="279"/>
      <c r="AI119" s="279"/>
      <c r="AJ119" s="279"/>
      <c r="AK119" s="279"/>
      <c r="AL119" s="279"/>
      <c r="AM119" s="279"/>
      <c r="AN119" s="279"/>
      <c r="AO119" s="279"/>
      <c r="AP119" s="279"/>
      <c r="AQ119" s="279"/>
      <c r="AR119" s="279"/>
      <c r="AS119" s="279"/>
      <c r="AT119" s="279"/>
      <c r="AU119" s="279"/>
      <c r="AV119" s="279"/>
      <c r="AW119" s="279"/>
      <c r="AX119" s="279"/>
      <c r="AY119" s="279"/>
      <c r="AZ119" s="279"/>
      <c r="BA119" s="279"/>
      <c r="BB119" s="279"/>
      <c r="BC119" s="279"/>
      <c r="BD119" s="279"/>
      <c r="BE119" s="279"/>
      <c r="BF119" s="279"/>
    </row>
    <row r="120" ht="14.25" customHeight="1">
      <c r="A120" s="22"/>
      <c r="B120" s="136"/>
      <c r="C120" s="136"/>
      <c r="D120" s="279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  <c r="AA120" s="279"/>
      <c r="AB120" s="279"/>
      <c r="AC120" s="279"/>
      <c r="AD120" s="279"/>
      <c r="AE120" s="279"/>
      <c r="AF120" s="279"/>
      <c r="AG120" s="279"/>
      <c r="AH120" s="279"/>
      <c r="AI120" s="279"/>
      <c r="AJ120" s="279"/>
      <c r="AK120" s="279"/>
      <c r="AL120" s="279"/>
      <c r="AM120" s="279"/>
      <c r="AN120" s="279"/>
      <c r="AO120" s="279"/>
      <c r="AP120" s="279"/>
      <c r="AQ120" s="279"/>
      <c r="AR120" s="279"/>
      <c r="AS120" s="279"/>
      <c r="AT120" s="279"/>
      <c r="AU120" s="279"/>
      <c r="AV120" s="279"/>
      <c r="AW120" s="279"/>
      <c r="AX120" s="279"/>
      <c r="AY120" s="279"/>
      <c r="AZ120" s="279"/>
      <c r="BA120" s="279"/>
      <c r="BB120" s="279"/>
      <c r="BC120" s="279"/>
      <c r="BD120" s="279"/>
      <c r="BE120" s="279"/>
      <c r="BF120" s="279"/>
    </row>
    <row r="121" ht="14.25" customHeight="1">
      <c r="A121" s="22"/>
      <c r="B121" s="276"/>
      <c r="C121" s="279"/>
      <c r="D121" s="279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  <c r="AA121" s="279"/>
      <c r="AB121" s="279"/>
      <c r="AC121" s="279"/>
      <c r="AD121" s="279"/>
      <c r="AE121" s="279"/>
      <c r="AF121" s="279"/>
      <c r="AG121" s="279"/>
      <c r="AH121" s="279"/>
      <c r="AI121" s="279"/>
      <c r="AJ121" s="279"/>
      <c r="AK121" s="279"/>
      <c r="AL121" s="279"/>
      <c r="AM121" s="279"/>
      <c r="AN121" s="279"/>
      <c r="AO121" s="279"/>
      <c r="AP121" s="279"/>
      <c r="AQ121" s="279"/>
      <c r="AR121" s="279"/>
      <c r="AS121" s="279"/>
      <c r="AT121" s="279"/>
      <c r="AU121" s="279"/>
      <c r="AV121" s="279"/>
      <c r="AW121" s="279"/>
      <c r="AX121" s="279"/>
      <c r="AY121" s="279"/>
      <c r="AZ121" s="279"/>
      <c r="BA121" s="279"/>
      <c r="BB121" s="279"/>
      <c r="BC121" s="279"/>
      <c r="BD121" s="279"/>
      <c r="BE121" s="279"/>
      <c r="BF121" s="279"/>
    </row>
    <row r="122" ht="14.25" customHeight="1">
      <c r="A122" s="22"/>
      <c r="B122" s="136"/>
      <c r="C122" s="136"/>
      <c r="D122" s="272"/>
      <c r="E122" s="272"/>
      <c r="F122" s="272"/>
      <c r="G122" s="272"/>
      <c r="H122" s="272"/>
      <c r="I122" s="272"/>
      <c r="J122" s="272"/>
      <c r="K122" s="272"/>
      <c r="L122" s="272"/>
      <c r="M122" s="272"/>
      <c r="N122" s="272"/>
      <c r="O122" s="272"/>
      <c r="P122" s="272"/>
      <c r="Q122" s="272"/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  <c r="AB122" s="272"/>
      <c r="AC122" s="272"/>
      <c r="AD122" s="272"/>
      <c r="AE122" s="272"/>
      <c r="AF122" s="272"/>
      <c r="AG122" s="272"/>
      <c r="AH122" s="272"/>
      <c r="AI122" s="272"/>
      <c r="AJ122" s="272"/>
      <c r="AK122" s="272"/>
      <c r="AL122" s="272"/>
      <c r="AM122" s="272"/>
      <c r="AN122" s="272"/>
      <c r="AO122" s="272"/>
      <c r="AP122" s="272"/>
      <c r="AQ122" s="272"/>
      <c r="AR122" s="272"/>
      <c r="AS122" s="272"/>
      <c r="AT122" s="272"/>
      <c r="AU122" s="272"/>
      <c r="AV122" s="272"/>
      <c r="AW122" s="272"/>
      <c r="AX122" s="272"/>
      <c r="AY122" s="272"/>
      <c r="AZ122" s="272"/>
      <c r="BA122" s="272"/>
      <c r="BB122" s="279"/>
      <c r="BC122" s="279"/>
      <c r="BD122" s="279"/>
      <c r="BE122" s="279"/>
      <c r="BF122" s="279"/>
    </row>
    <row r="123" ht="14.25" customHeight="1">
      <c r="A123" s="22"/>
      <c r="B123" s="272"/>
      <c r="C123" s="272"/>
      <c r="D123" s="272"/>
      <c r="E123" s="272"/>
      <c r="F123" s="272"/>
      <c r="G123" s="272"/>
      <c r="H123" s="272"/>
      <c r="I123" s="272"/>
      <c r="J123" s="272"/>
      <c r="K123" s="272"/>
      <c r="L123" s="272"/>
      <c r="M123" s="272"/>
      <c r="N123" s="272"/>
      <c r="O123" s="272"/>
      <c r="P123" s="272"/>
      <c r="Q123" s="272"/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  <c r="AB123" s="272"/>
      <c r="AC123" s="272"/>
      <c r="AD123" s="272"/>
      <c r="AE123" s="272"/>
      <c r="AF123" s="272"/>
      <c r="AG123" s="272"/>
      <c r="AH123" s="272"/>
      <c r="AI123" s="272"/>
      <c r="AJ123" s="272"/>
      <c r="AK123" s="272"/>
      <c r="AL123" s="272"/>
      <c r="AM123" s="272"/>
      <c r="AN123" s="272"/>
      <c r="AO123" s="272"/>
      <c r="AP123" s="272"/>
      <c r="AQ123" s="272"/>
      <c r="AR123" s="272"/>
      <c r="AS123" s="272"/>
      <c r="AT123" s="272"/>
      <c r="AU123" s="272"/>
      <c r="AV123" s="272"/>
      <c r="AW123" s="272"/>
      <c r="AX123" s="272"/>
      <c r="AY123" s="272"/>
      <c r="AZ123" s="272"/>
      <c r="BA123" s="272"/>
      <c r="BB123" s="279"/>
      <c r="BC123" s="279"/>
      <c r="BD123" s="279"/>
      <c r="BE123" s="279"/>
      <c r="BF123" s="279"/>
    </row>
    <row r="124" ht="14.25" customHeight="1">
      <c r="A124" s="22"/>
      <c r="B124" s="136"/>
      <c r="C124" s="279"/>
      <c r="D124" s="279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  <c r="AA124" s="279"/>
      <c r="AB124" s="279"/>
      <c r="AC124" s="279"/>
      <c r="AD124" s="279"/>
      <c r="AE124" s="279"/>
      <c r="AF124" s="279"/>
      <c r="AG124" s="279"/>
      <c r="AH124" s="279"/>
      <c r="AI124" s="279"/>
      <c r="AJ124" s="279"/>
      <c r="AK124" s="279"/>
      <c r="AL124" s="279"/>
      <c r="AM124" s="279"/>
      <c r="AN124" s="279"/>
      <c r="AO124" s="279"/>
      <c r="AP124" s="279"/>
      <c r="AQ124" s="279"/>
      <c r="AR124" s="279"/>
      <c r="AS124" s="279"/>
      <c r="AT124" s="279"/>
      <c r="AU124" s="279"/>
      <c r="AV124" s="279"/>
      <c r="AW124" s="279"/>
      <c r="AX124" s="279"/>
      <c r="AY124" s="279"/>
      <c r="AZ124" s="279"/>
      <c r="BA124" s="279"/>
      <c r="BB124" s="279"/>
      <c r="BC124" s="279"/>
      <c r="BD124" s="279"/>
      <c r="BE124" s="279"/>
      <c r="BF124" s="279"/>
    </row>
    <row r="125" ht="14.25" customHeight="1">
      <c r="A125" s="181"/>
      <c r="B125" s="276"/>
      <c r="C125" s="279"/>
      <c r="D125" s="279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  <c r="AA125" s="279"/>
      <c r="AB125" s="279"/>
      <c r="AC125" s="279"/>
      <c r="AD125" s="279"/>
      <c r="AE125" s="279"/>
      <c r="AF125" s="279"/>
      <c r="AG125" s="279"/>
      <c r="AH125" s="279"/>
      <c r="AI125" s="279"/>
      <c r="AJ125" s="279"/>
      <c r="AK125" s="279"/>
      <c r="AL125" s="279"/>
      <c r="AM125" s="279"/>
      <c r="AN125" s="279"/>
      <c r="AO125" s="279"/>
      <c r="AP125" s="279"/>
      <c r="AQ125" s="279"/>
      <c r="AR125" s="279"/>
      <c r="AS125" s="279"/>
      <c r="AT125" s="279"/>
      <c r="AU125" s="279"/>
      <c r="AV125" s="279"/>
      <c r="AW125" s="279"/>
      <c r="AX125" s="279"/>
      <c r="AY125" s="279"/>
      <c r="AZ125" s="279"/>
      <c r="BA125" s="279"/>
      <c r="BB125" s="279"/>
      <c r="BC125" s="279"/>
      <c r="BD125" s="279"/>
      <c r="BE125" s="279"/>
      <c r="BF125" s="279"/>
    </row>
    <row r="126" ht="14.25" customHeight="1">
      <c r="A126" s="22"/>
      <c r="B126" s="276"/>
      <c r="C126" s="279"/>
      <c r="D126" s="279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  <c r="AA126" s="279"/>
      <c r="AB126" s="279"/>
      <c r="AC126" s="279"/>
      <c r="AD126" s="279"/>
      <c r="AE126" s="279"/>
      <c r="AF126" s="279"/>
      <c r="AG126" s="279"/>
      <c r="AH126" s="279"/>
      <c r="AI126" s="279"/>
      <c r="AJ126" s="279"/>
      <c r="AK126" s="279"/>
      <c r="AL126" s="279"/>
      <c r="AM126" s="279"/>
      <c r="AN126" s="279"/>
      <c r="AO126" s="279"/>
      <c r="AP126" s="279"/>
      <c r="AQ126" s="279"/>
      <c r="AR126" s="279"/>
      <c r="AS126" s="279"/>
      <c r="AT126" s="279"/>
      <c r="AU126" s="279"/>
      <c r="AV126" s="279"/>
      <c r="AW126" s="279"/>
      <c r="AX126" s="279"/>
      <c r="AY126" s="279"/>
      <c r="AZ126" s="279"/>
      <c r="BA126" s="279"/>
      <c r="BB126" s="279"/>
      <c r="BC126" s="279"/>
      <c r="BD126" s="279"/>
      <c r="BE126" s="279"/>
      <c r="BF126" s="279"/>
    </row>
    <row r="127" ht="14.25" customHeight="1">
      <c r="B127" s="276"/>
      <c r="C127" s="279"/>
      <c r="D127" s="279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  <c r="AA127" s="279"/>
      <c r="AB127" s="279"/>
      <c r="AC127" s="279"/>
      <c r="AD127" s="279"/>
      <c r="AE127" s="279"/>
      <c r="AF127" s="279"/>
      <c r="AG127" s="279"/>
      <c r="AH127" s="279"/>
      <c r="AI127" s="279"/>
      <c r="AJ127" s="279"/>
      <c r="AK127" s="279"/>
      <c r="AL127" s="279"/>
      <c r="AM127" s="279"/>
      <c r="AN127" s="279"/>
      <c r="AO127" s="279"/>
      <c r="AP127" s="279"/>
      <c r="AQ127" s="279"/>
      <c r="AR127" s="279"/>
      <c r="AS127" s="279"/>
      <c r="AT127" s="279"/>
      <c r="AU127" s="279"/>
      <c r="AV127" s="279"/>
      <c r="AW127" s="279"/>
      <c r="AX127" s="279"/>
      <c r="AY127" s="279"/>
      <c r="AZ127" s="279"/>
      <c r="BA127" s="279"/>
      <c r="BB127" s="279"/>
      <c r="BC127" s="279"/>
      <c r="BD127" s="279"/>
      <c r="BE127" s="279"/>
      <c r="BF127" s="279"/>
    </row>
    <row r="128" ht="14.25" customHeight="1"/>
    <row r="129" ht="14.25" customHeight="1">
      <c r="A129" s="136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  <c r="S129" s="280"/>
      <c r="T129" s="280"/>
      <c r="U129" s="280"/>
      <c r="V129" s="280"/>
      <c r="W129" s="280"/>
      <c r="X129" s="280"/>
      <c r="Y129" s="280"/>
      <c r="Z129" s="280"/>
      <c r="AA129" s="280"/>
      <c r="AB129" s="280"/>
      <c r="AC129" s="280"/>
      <c r="AD129" s="280"/>
      <c r="AE129" s="280"/>
      <c r="AF129" s="280"/>
      <c r="AG129" s="280"/>
      <c r="AH129" s="280"/>
      <c r="AI129" s="280"/>
      <c r="AJ129" s="280"/>
      <c r="AK129" s="280"/>
      <c r="AL129" s="280"/>
      <c r="AM129" s="280"/>
      <c r="AN129" s="280"/>
      <c r="AO129" s="280"/>
      <c r="AP129" s="280"/>
      <c r="AQ129" s="280"/>
      <c r="AR129" s="280"/>
      <c r="AS129" s="280"/>
      <c r="AT129" s="280"/>
      <c r="AU129" s="280"/>
      <c r="AV129" s="280"/>
      <c r="AW129" s="280"/>
      <c r="AX129" s="280"/>
      <c r="AY129" s="280"/>
      <c r="AZ129" s="280"/>
      <c r="BA129" s="280"/>
      <c r="BB129" s="280"/>
      <c r="BC129" s="280"/>
      <c r="BD129" s="280"/>
      <c r="BE129" s="280"/>
      <c r="BF129" s="280"/>
    </row>
    <row r="130" ht="14.25" customHeight="1">
      <c r="A130" s="22"/>
      <c r="B130" s="276"/>
      <c r="C130" s="276"/>
      <c r="D130" s="276"/>
      <c r="E130" s="276"/>
      <c r="F130" s="276"/>
      <c r="G130" s="276"/>
      <c r="H130" s="276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  <c r="AA130" s="279"/>
      <c r="AB130" s="279"/>
      <c r="AC130" s="279"/>
      <c r="AD130" s="279"/>
      <c r="AE130" s="279"/>
      <c r="AF130" s="279"/>
      <c r="AG130" s="279"/>
      <c r="AH130" s="279"/>
      <c r="AI130" s="279"/>
      <c r="AJ130" s="279"/>
      <c r="AK130" s="279"/>
      <c r="AL130" s="279"/>
      <c r="AM130" s="279"/>
      <c r="AN130" s="279"/>
      <c r="AO130" s="279"/>
      <c r="AP130" s="279"/>
      <c r="AQ130" s="279"/>
      <c r="AR130" s="279"/>
      <c r="AS130" s="279"/>
      <c r="AT130" s="279"/>
      <c r="AU130" s="279"/>
      <c r="AV130" s="279"/>
      <c r="AW130" s="279"/>
      <c r="AX130" s="279"/>
      <c r="AY130" s="279"/>
      <c r="AZ130" s="279"/>
      <c r="BA130" s="279"/>
      <c r="BB130" s="279"/>
      <c r="BC130" s="279"/>
      <c r="BD130" s="279"/>
      <c r="BE130" s="279"/>
      <c r="BF130" s="279"/>
    </row>
    <row r="131" ht="14.25" customHeight="1">
      <c r="A131" s="22"/>
      <c r="B131" s="276"/>
      <c r="C131" s="276"/>
      <c r="D131" s="279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  <c r="AA131" s="279"/>
      <c r="AB131" s="279"/>
      <c r="AC131" s="279"/>
      <c r="AD131" s="279"/>
      <c r="AE131" s="279"/>
      <c r="AF131" s="279"/>
      <c r="AG131" s="279"/>
      <c r="AH131" s="279"/>
      <c r="AI131" s="279"/>
      <c r="AJ131" s="279"/>
      <c r="AK131" s="279"/>
      <c r="AL131" s="279"/>
      <c r="AM131" s="279"/>
      <c r="AN131" s="279"/>
      <c r="AO131" s="279"/>
      <c r="AP131" s="279"/>
      <c r="AQ131" s="279"/>
      <c r="AR131" s="279"/>
      <c r="AS131" s="279"/>
      <c r="AT131" s="279"/>
      <c r="AU131" s="279"/>
      <c r="AV131" s="279"/>
      <c r="AW131" s="279"/>
      <c r="AX131" s="279"/>
      <c r="AY131" s="279"/>
      <c r="AZ131" s="279"/>
      <c r="BA131" s="279"/>
      <c r="BB131" s="279"/>
      <c r="BC131" s="279"/>
      <c r="BD131" s="279"/>
      <c r="BE131" s="279"/>
      <c r="BF131" s="279"/>
    </row>
    <row r="132" ht="14.25" customHeight="1">
      <c r="A132" s="22"/>
      <c r="B132" s="276"/>
      <c r="C132" s="279"/>
      <c r="D132" s="279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79"/>
      <c r="AH132" s="279"/>
      <c r="AI132" s="279"/>
      <c r="AJ132" s="279"/>
      <c r="AK132" s="279"/>
      <c r="AL132" s="279"/>
      <c r="AM132" s="279"/>
      <c r="AN132" s="279"/>
      <c r="AO132" s="279"/>
      <c r="AP132" s="279"/>
      <c r="AQ132" s="279"/>
      <c r="AR132" s="279"/>
      <c r="AS132" s="279"/>
      <c r="AT132" s="279"/>
      <c r="AU132" s="279"/>
      <c r="AV132" s="279"/>
      <c r="AW132" s="279"/>
      <c r="AX132" s="279"/>
      <c r="AY132" s="279"/>
      <c r="AZ132" s="279"/>
      <c r="BA132" s="279"/>
      <c r="BB132" s="279"/>
      <c r="BC132" s="279"/>
      <c r="BD132" s="279"/>
      <c r="BE132" s="279"/>
      <c r="BF132" s="279"/>
    </row>
    <row r="133" ht="14.25" customHeight="1">
      <c r="A133" s="22"/>
      <c r="B133" s="276"/>
      <c r="C133" s="276"/>
      <c r="D133" s="276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  <c r="AA133" s="279"/>
      <c r="AB133" s="279"/>
      <c r="AC133" s="279"/>
      <c r="AD133" s="279"/>
      <c r="AE133" s="279"/>
      <c r="AF133" s="279"/>
      <c r="AG133" s="279"/>
      <c r="AH133" s="279"/>
      <c r="AI133" s="279"/>
      <c r="AJ133" s="279"/>
      <c r="AK133" s="279"/>
      <c r="AL133" s="279"/>
      <c r="AM133" s="279"/>
      <c r="AN133" s="279"/>
      <c r="AO133" s="279"/>
      <c r="AP133" s="279"/>
      <c r="AQ133" s="279"/>
      <c r="AR133" s="279"/>
      <c r="AS133" s="279"/>
      <c r="AT133" s="279"/>
      <c r="AU133" s="279"/>
      <c r="AV133" s="279"/>
      <c r="AW133" s="279"/>
      <c r="AX133" s="279"/>
      <c r="AY133" s="279"/>
      <c r="AZ133" s="279"/>
      <c r="BA133" s="279"/>
      <c r="BB133" s="279"/>
      <c r="BC133" s="279"/>
      <c r="BD133" s="279"/>
      <c r="BE133" s="279"/>
      <c r="BF133" s="279"/>
    </row>
    <row r="134" ht="14.25" customHeight="1">
      <c r="A134" s="22"/>
      <c r="B134" s="276"/>
      <c r="C134" s="279"/>
      <c r="D134" s="279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  <c r="AA134" s="279"/>
      <c r="AB134" s="279"/>
      <c r="AC134" s="279"/>
      <c r="AD134" s="279"/>
      <c r="AE134" s="279"/>
      <c r="AF134" s="279"/>
      <c r="AG134" s="279"/>
      <c r="AH134" s="279"/>
      <c r="AI134" s="279"/>
      <c r="AJ134" s="279"/>
      <c r="AK134" s="279"/>
      <c r="AL134" s="279"/>
      <c r="AM134" s="279"/>
      <c r="AN134" s="279"/>
      <c r="AO134" s="279"/>
      <c r="AP134" s="279"/>
      <c r="AQ134" s="279"/>
      <c r="AR134" s="279"/>
      <c r="AS134" s="279"/>
      <c r="AT134" s="279"/>
      <c r="AU134" s="279"/>
      <c r="AV134" s="279"/>
      <c r="AW134" s="279"/>
      <c r="AX134" s="279"/>
      <c r="AY134" s="279"/>
      <c r="AZ134" s="279"/>
      <c r="BA134" s="279"/>
      <c r="BB134" s="279"/>
      <c r="BC134" s="279"/>
      <c r="BD134" s="279"/>
      <c r="BE134" s="279"/>
      <c r="BF134" s="279"/>
    </row>
    <row r="135" ht="14.25" customHeight="1">
      <c r="A135" s="22"/>
      <c r="B135" s="276"/>
      <c r="C135" s="276"/>
      <c r="D135" s="279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  <c r="AA135" s="279"/>
      <c r="AB135" s="279"/>
      <c r="AC135" s="279"/>
      <c r="AD135" s="279"/>
      <c r="AE135" s="279"/>
      <c r="AF135" s="279"/>
      <c r="AG135" s="279"/>
      <c r="AH135" s="279"/>
      <c r="AI135" s="279"/>
      <c r="AJ135" s="279"/>
      <c r="AK135" s="279"/>
      <c r="AL135" s="279"/>
      <c r="AM135" s="279"/>
      <c r="AN135" s="279"/>
      <c r="AO135" s="279"/>
      <c r="AP135" s="279"/>
      <c r="AQ135" s="279"/>
      <c r="AR135" s="279"/>
      <c r="AS135" s="279"/>
      <c r="AT135" s="279"/>
      <c r="AU135" s="279"/>
      <c r="AV135" s="279"/>
      <c r="AW135" s="279"/>
      <c r="AX135" s="279"/>
      <c r="AY135" s="279"/>
      <c r="AZ135" s="279"/>
      <c r="BA135" s="279"/>
      <c r="BB135" s="279"/>
      <c r="BC135" s="279"/>
      <c r="BD135" s="279"/>
      <c r="BE135" s="279"/>
      <c r="BF135" s="279"/>
    </row>
    <row r="136" ht="14.25" customHeight="1">
      <c r="A136" s="22"/>
      <c r="B136" s="276"/>
      <c r="C136" s="276"/>
      <c r="D136" s="276"/>
      <c r="E136" s="276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  <c r="AA136" s="279"/>
      <c r="AB136" s="279"/>
      <c r="AC136" s="279"/>
      <c r="AD136" s="279"/>
      <c r="AE136" s="279"/>
      <c r="AF136" s="279"/>
      <c r="AG136" s="279"/>
      <c r="AH136" s="279"/>
      <c r="AI136" s="279"/>
      <c r="AJ136" s="279"/>
      <c r="AK136" s="279"/>
      <c r="AL136" s="279"/>
      <c r="AM136" s="279"/>
      <c r="AN136" s="279"/>
      <c r="AO136" s="279"/>
      <c r="AP136" s="279"/>
      <c r="AQ136" s="279"/>
      <c r="AR136" s="279"/>
      <c r="AS136" s="279"/>
      <c r="AT136" s="279"/>
      <c r="AU136" s="279"/>
      <c r="AV136" s="279"/>
      <c r="AW136" s="279"/>
      <c r="AX136" s="279"/>
      <c r="AY136" s="279"/>
      <c r="AZ136" s="279"/>
      <c r="BA136" s="279"/>
      <c r="BB136" s="279"/>
      <c r="BC136" s="279"/>
      <c r="BD136" s="279"/>
      <c r="BE136" s="279"/>
      <c r="BF136" s="279"/>
    </row>
    <row r="137" ht="14.25" customHeight="1">
      <c r="A137" s="22"/>
      <c r="B137" s="276"/>
      <c r="C137" s="279"/>
      <c r="D137" s="279"/>
      <c r="E137" s="279"/>
      <c r="F137" s="279"/>
      <c r="G137" s="279"/>
      <c r="H137" s="279"/>
      <c r="I137" s="279"/>
      <c r="J137" s="279"/>
      <c r="K137" s="279"/>
      <c r="L137" s="279"/>
      <c r="M137" s="279"/>
      <c r="N137" s="279"/>
      <c r="O137" s="279"/>
      <c r="P137" s="279"/>
      <c r="Q137" s="279"/>
      <c r="R137" s="279"/>
      <c r="S137" s="279"/>
      <c r="T137" s="279"/>
      <c r="U137" s="279"/>
      <c r="V137" s="279"/>
      <c r="W137" s="279"/>
      <c r="X137" s="279"/>
      <c r="Y137" s="279"/>
      <c r="Z137" s="279"/>
      <c r="AA137" s="279"/>
      <c r="AB137" s="279"/>
      <c r="AC137" s="279"/>
      <c r="AD137" s="279"/>
      <c r="AE137" s="279"/>
      <c r="AF137" s="279"/>
      <c r="AG137" s="279"/>
      <c r="AH137" s="279"/>
      <c r="AI137" s="279"/>
      <c r="AJ137" s="279"/>
      <c r="AK137" s="279"/>
      <c r="AL137" s="279"/>
      <c r="AM137" s="279"/>
      <c r="AN137" s="279"/>
      <c r="AO137" s="279"/>
      <c r="AP137" s="279"/>
      <c r="AQ137" s="279"/>
      <c r="AR137" s="279"/>
      <c r="AS137" s="279"/>
      <c r="AT137" s="279"/>
      <c r="AU137" s="279"/>
      <c r="AV137" s="279"/>
      <c r="AW137" s="279"/>
      <c r="AX137" s="279"/>
      <c r="AY137" s="279"/>
      <c r="AZ137" s="279"/>
      <c r="BA137" s="279"/>
      <c r="BB137" s="279"/>
      <c r="BC137" s="279"/>
      <c r="BD137" s="279"/>
      <c r="BE137" s="279"/>
      <c r="BF137" s="279"/>
    </row>
    <row r="138" ht="14.25" customHeight="1">
      <c r="A138" s="22"/>
      <c r="B138" s="276"/>
      <c r="C138" s="276"/>
      <c r="D138" s="279"/>
      <c r="E138" s="279"/>
      <c r="F138" s="279"/>
      <c r="G138" s="279"/>
      <c r="H138" s="279"/>
      <c r="I138" s="279"/>
      <c r="J138" s="279"/>
      <c r="K138" s="279"/>
      <c r="L138" s="279"/>
      <c r="M138" s="279"/>
      <c r="N138" s="279"/>
      <c r="O138" s="279"/>
      <c r="P138" s="279"/>
      <c r="Q138" s="279"/>
      <c r="R138" s="279"/>
      <c r="S138" s="279"/>
      <c r="T138" s="279"/>
      <c r="U138" s="279"/>
      <c r="V138" s="279"/>
      <c r="W138" s="279"/>
      <c r="X138" s="279"/>
      <c r="Y138" s="279"/>
      <c r="Z138" s="279"/>
      <c r="AA138" s="279"/>
      <c r="AB138" s="279"/>
      <c r="AC138" s="279"/>
      <c r="AD138" s="279"/>
      <c r="AE138" s="279"/>
      <c r="AF138" s="279"/>
      <c r="AG138" s="279"/>
      <c r="AH138" s="279"/>
      <c r="AI138" s="279"/>
      <c r="AJ138" s="279"/>
      <c r="AK138" s="279"/>
      <c r="AL138" s="279"/>
      <c r="AM138" s="279"/>
      <c r="AN138" s="279"/>
      <c r="AO138" s="279"/>
      <c r="AP138" s="279"/>
      <c r="AQ138" s="279"/>
      <c r="AR138" s="279"/>
      <c r="AS138" s="279"/>
      <c r="AT138" s="279"/>
      <c r="AU138" s="279"/>
      <c r="AV138" s="279"/>
      <c r="AW138" s="279"/>
      <c r="AX138" s="279"/>
      <c r="AY138" s="279"/>
      <c r="AZ138" s="279"/>
      <c r="BA138" s="279"/>
      <c r="BB138" s="279"/>
      <c r="BC138" s="279"/>
      <c r="BD138" s="279"/>
      <c r="BE138" s="279"/>
      <c r="BF138" s="279"/>
    </row>
    <row r="139" ht="14.25" customHeight="1">
      <c r="A139" s="22"/>
      <c r="B139" s="276"/>
      <c r="C139" s="279"/>
      <c r="D139" s="279"/>
      <c r="E139" s="279"/>
      <c r="F139" s="279"/>
      <c r="G139" s="279"/>
      <c r="H139" s="279"/>
      <c r="I139" s="279"/>
      <c r="J139" s="279"/>
      <c r="K139" s="279"/>
      <c r="L139" s="279"/>
      <c r="M139" s="279"/>
      <c r="N139" s="279"/>
      <c r="O139" s="279"/>
      <c r="P139" s="279"/>
      <c r="Q139" s="279"/>
      <c r="R139" s="279"/>
      <c r="S139" s="279"/>
      <c r="T139" s="279"/>
      <c r="U139" s="279"/>
      <c r="V139" s="279"/>
      <c r="W139" s="279"/>
      <c r="X139" s="279"/>
      <c r="Y139" s="279"/>
      <c r="Z139" s="279"/>
      <c r="AA139" s="279"/>
      <c r="AB139" s="279"/>
      <c r="AC139" s="279"/>
      <c r="AD139" s="279"/>
      <c r="AE139" s="279"/>
      <c r="AF139" s="279"/>
      <c r="AG139" s="279"/>
      <c r="AH139" s="279"/>
      <c r="AI139" s="279"/>
      <c r="AJ139" s="279"/>
      <c r="AK139" s="279"/>
      <c r="AL139" s="279"/>
      <c r="AM139" s="279"/>
      <c r="AN139" s="279"/>
      <c r="AO139" s="279"/>
      <c r="AP139" s="279"/>
      <c r="AQ139" s="279"/>
      <c r="AR139" s="279"/>
      <c r="AS139" s="279"/>
      <c r="AT139" s="279"/>
      <c r="AU139" s="279"/>
      <c r="AV139" s="279"/>
      <c r="AW139" s="279"/>
      <c r="AX139" s="279"/>
      <c r="AY139" s="279"/>
      <c r="AZ139" s="279"/>
      <c r="BA139" s="279"/>
      <c r="BB139" s="279"/>
      <c r="BC139" s="279"/>
      <c r="BD139" s="279"/>
      <c r="BE139" s="279"/>
      <c r="BF139" s="279"/>
    </row>
    <row r="140" ht="14.25" customHeight="1">
      <c r="A140" s="22"/>
      <c r="B140" s="276"/>
      <c r="C140" s="276"/>
      <c r="D140" s="276"/>
      <c r="E140" s="276"/>
      <c r="F140" s="279"/>
      <c r="G140" s="279"/>
      <c r="H140" s="279"/>
      <c r="I140" s="279"/>
      <c r="J140" s="279"/>
      <c r="K140" s="279"/>
      <c r="L140" s="279"/>
      <c r="M140" s="279"/>
      <c r="N140" s="279"/>
      <c r="O140" s="279"/>
      <c r="P140" s="279"/>
      <c r="Q140" s="279"/>
      <c r="R140" s="279"/>
      <c r="S140" s="279"/>
      <c r="T140" s="279"/>
      <c r="U140" s="279"/>
      <c r="V140" s="279"/>
      <c r="W140" s="279"/>
      <c r="X140" s="279"/>
      <c r="Y140" s="279"/>
      <c r="Z140" s="279"/>
      <c r="AA140" s="279"/>
      <c r="AB140" s="279"/>
      <c r="AC140" s="279"/>
      <c r="AD140" s="279"/>
      <c r="AE140" s="279"/>
      <c r="AF140" s="279"/>
      <c r="AG140" s="279"/>
      <c r="AH140" s="279"/>
      <c r="AI140" s="279"/>
      <c r="AJ140" s="279"/>
      <c r="AK140" s="279"/>
      <c r="AL140" s="279"/>
      <c r="AM140" s="279"/>
      <c r="AN140" s="279"/>
      <c r="AO140" s="279"/>
      <c r="AP140" s="279"/>
      <c r="AQ140" s="279"/>
      <c r="AR140" s="279"/>
      <c r="AS140" s="279"/>
      <c r="AT140" s="279"/>
      <c r="AU140" s="279"/>
      <c r="AV140" s="279"/>
      <c r="AW140" s="279"/>
      <c r="AX140" s="279"/>
      <c r="AY140" s="279"/>
      <c r="AZ140" s="279"/>
      <c r="BA140" s="279"/>
      <c r="BB140" s="279"/>
      <c r="BC140" s="279"/>
      <c r="BD140" s="279"/>
      <c r="BE140" s="279"/>
      <c r="BF140" s="279"/>
    </row>
    <row r="141" ht="14.25" customHeight="1">
      <c r="A141" s="22"/>
      <c r="B141" s="276"/>
      <c r="C141" s="279"/>
      <c r="D141" s="279"/>
      <c r="E141" s="279"/>
      <c r="F141" s="279"/>
      <c r="G141" s="279"/>
      <c r="H141" s="279"/>
      <c r="I141" s="279"/>
      <c r="J141" s="279"/>
      <c r="K141" s="279"/>
      <c r="L141" s="279"/>
      <c r="M141" s="279"/>
      <c r="N141" s="279"/>
      <c r="O141" s="279"/>
      <c r="P141" s="279"/>
      <c r="Q141" s="279"/>
      <c r="R141" s="279"/>
      <c r="S141" s="279"/>
      <c r="T141" s="279"/>
      <c r="U141" s="279"/>
      <c r="V141" s="279"/>
      <c r="W141" s="279"/>
      <c r="X141" s="279"/>
      <c r="Y141" s="279"/>
      <c r="Z141" s="279"/>
      <c r="AA141" s="279"/>
      <c r="AB141" s="279"/>
      <c r="AC141" s="279"/>
      <c r="AD141" s="279"/>
      <c r="AE141" s="279"/>
      <c r="AF141" s="279"/>
      <c r="AG141" s="279"/>
      <c r="AH141" s="279"/>
      <c r="AI141" s="279"/>
      <c r="AJ141" s="279"/>
      <c r="AK141" s="279"/>
      <c r="AL141" s="279"/>
      <c r="AM141" s="279"/>
      <c r="AN141" s="279"/>
      <c r="AO141" s="279"/>
      <c r="AP141" s="279"/>
      <c r="AQ141" s="279"/>
      <c r="AR141" s="279"/>
      <c r="AS141" s="279"/>
      <c r="AT141" s="279"/>
      <c r="AU141" s="279"/>
      <c r="AV141" s="279"/>
      <c r="AW141" s="279"/>
      <c r="AX141" s="279"/>
      <c r="AY141" s="279"/>
      <c r="AZ141" s="279"/>
      <c r="BA141" s="279"/>
      <c r="BB141" s="279"/>
      <c r="BC141" s="279"/>
      <c r="BD141" s="279"/>
      <c r="BE141" s="279"/>
      <c r="BF141" s="279"/>
    </row>
    <row r="142" ht="14.25" customHeight="1">
      <c r="A142" s="22"/>
      <c r="B142" s="276"/>
      <c r="C142" s="279"/>
      <c r="D142" s="279"/>
      <c r="E142" s="279"/>
      <c r="F142" s="279"/>
      <c r="G142" s="279"/>
      <c r="H142" s="279"/>
      <c r="I142" s="279"/>
      <c r="J142" s="279"/>
      <c r="K142" s="279"/>
      <c r="L142" s="279"/>
      <c r="M142" s="279"/>
      <c r="N142" s="279"/>
      <c r="O142" s="279"/>
      <c r="P142" s="279"/>
      <c r="Q142" s="279"/>
      <c r="R142" s="279"/>
      <c r="S142" s="279"/>
      <c r="T142" s="279"/>
      <c r="U142" s="279"/>
      <c r="V142" s="279"/>
      <c r="W142" s="279"/>
      <c r="X142" s="279"/>
      <c r="Y142" s="279"/>
      <c r="Z142" s="279"/>
      <c r="AA142" s="279"/>
      <c r="AB142" s="279"/>
      <c r="AC142" s="279"/>
      <c r="AD142" s="279"/>
      <c r="AE142" s="279"/>
      <c r="AF142" s="279"/>
      <c r="AG142" s="279"/>
      <c r="AH142" s="279"/>
      <c r="AI142" s="279"/>
      <c r="AJ142" s="279"/>
      <c r="AK142" s="279"/>
      <c r="AL142" s="279"/>
      <c r="AM142" s="279"/>
      <c r="AN142" s="279"/>
      <c r="AO142" s="279"/>
      <c r="AP142" s="279"/>
      <c r="AQ142" s="279"/>
      <c r="AR142" s="279"/>
      <c r="AS142" s="279"/>
      <c r="AT142" s="279"/>
      <c r="AU142" s="279"/>
      <c r="AV142" s="279"/>
      <c r="AW142" s="279"/>
      <c r="AX142" s="279"/>
      <c r="AY142" s="279"/>
      <c r="AZ142" s="279"/>
      <c r="BA142" s="279"/>
      <c r="BB142" s="279"/>
      <c r="BC142" s="279"/>
      <c r="BD142" s="279"/>
      <c r="BE142" s="279"/>
      <c r="BF142" s="279"/>
    </row>
    <row r="143" ht="14.25" customHeight="1">
      <c r="A143" s="22"/>
      <c r="B143" s="276"/>
      <c r="C143" s="279"/>
      <c r="D143" s="279"/>
      <c r="E143" s="279"/>
      <c r="F143" s="279"/>
      <c r="G143" s="279"/>
      <c r="H143" s="279"/>
      <c r="I143" s="279"/>
      <c r="J143" s="279"/>
      <c r="K143" s="279"/>
      <c r="L143" s="279"/>
      <c r="M143" s="279"/>
      <c r="N143" s="279"/>
      <c r="O143" s="279"/>
      <c r="P143" s="279"/>
      <c r="Q143" s="279"/>
      <c r="R143" s="279"/>
      <c r="S143" s="279"/>
      <c r="T143" s="279"/>
      <c r="U143" s="279"/>
      <c r="V143" s="279"/>
      <c r="W143" s="279"/>
      <c r="X143" s="279"/>
      <c r="Y143" s="279"/>
      <c r="Z143" s="279"/>
      <c r="AA143" s="279"/>
      <c r="AB143" s="279"/>
      <c r="AC143" s="279"/>
      <c r="AD143" s="279"/>
      <c r="AE143" s="279"/>
      <c r="AF143" s="279"/>
      <c r="AG143" s="279"/>
      <c r="AH143" s="279"/>
      <c r="AI143" s="279"/>
      <c r="AJ143" s="279"/>
      <c r="AK143" s="279"/>
      <c r="AL143" s="279"/>
      <c r="AM143" s="279"/>
      <c r="AN143" s="279"/>
      <c r="AO143" s="279"/>
      <c r="AP143" s="279"/>
      <c r="AQ143" s="279"/>
      <c r="AR143" s="279"/>
      <c r="AS143" s="279"/>
      <c r="AT143" s="279"/>
      <c r="AU143" s="279"/>
      <c r="AV143" s="279"/>
      <c r="AW143" s="279"/>
      <c r="AX143" s="279"/>
      <c r="AY143" s="279"/>
      <c r="AZ143" s="279"/>
      <c r="BA143" s="279"/>
      <c r="BB143" s="279"/>
      <c r="BC143" s="279"/>
      <c r="BD143" s="279"/>
      <c r="BE143" s="279"/>
      <c r="BF143" s="279"/>
    </row>
    <row r="144" ht="14.25" customHeight="1">
      <c r="A144" s="22"/>
      <c r="B144" s="276"/>
      <c r="C144" s="279"/>
      <c r="D144" s="279"/>
      <c r="E144" s="279"/>
      <c r="F144" s="279"/>
      <c r="G144" s="279"/>
      <c r="H144" s="279"/>
      <c r="I144" s="279"/>
      <c r="J144" s="279"/>
      <c r="K144" s="279"/>
      <c r="L144" s="279"/>
      <c r="M144" s="279"/>
      <c r="N144" s="279"/>
      <c r="O144" s="279"/>
      <c r="P144" s="279"/>
      <c r="Q144" s="279"/>
      <c r="R144" s="279"/>
      <c r="S144" s="279"/>
      <c r="T144" s="279"/>
      <c r="U144" s="279"/>
      <c r="V144" s="279"/>
      <c r="W144" s="279"/>
      <c r="X144" s="279"/>
      <c r="Y144" s="279"/>
      <c r="Z144" s="279"/>
      <c r="AA144" s="279"/>
      <c r="AB144" s="279"/>
      <c r="AC144" s="279"/>
      <c r="AD144" s="279"/>
      <c r="AE144" s="279"/>
      <c r="AF144" s="279"/>
      <c r="AG144" s="279"/>
      <c r="AH144" s="279"/>
      <c r="AI144" s="279"/>
      <c r="AJ144" s="279"/>
      <c r="AK144" s="279"/>
      <c r="AL144" s="279"/>
      <c r="AM144" s="279"/>
      <c r="AN144" s="279"/>
      <c r="AO144" s="279"/>
      <c r="AP144" s="279"/>
      <c r="AQ144" s="279"/>
      <c r="AR144" s="279"/>
      <c r="AS144" s="279"/>
      <c r="AT144" s="279"/>
      <c r="AU144" s="279"/>
      <c r="AV144" s="279"/>
      <c r="AW144" s="279"/>
      <c r="AX144" s="279"/>
      <c r="AY144" s="279"/>
      <c r="AZ144" s="279"/>
      <c r="BA144" s="279"/>
      <c r="BB144" s="279"/>
      <c r="BC144" s="279"/>
      <c r="BD144" s="279"/>
      <c r="BE144" s="279"/>
      <c r="BF144" s="279"/>
    </row>
    <row r="145" ht="14.25" customHeight="1">
      <c r="A145" s="22"/>
      <c r="B145" s="276"/>
      <c r="C145" s="279"/>
      <c r="D145" s="279"/>
      <c r="E145" s="279"/>
      <c r="F145" s="279"/>
      <c r="G145" s="279"/>
      <c r="H145" s="279"/>
      <c r="I145" s="279"/>
      <c r="J145" s="279"/>
      <c r="K145" s="279"/>
      <c r="L145" s="279"/>
      <c r="M145" s="279"/>
      <c r="N145" s="279"/>
      <c r="O145" s="279"/>
      <c r="P145" s="279"/>
      <c r="Q145" s="279"/>
      <c r="R145" s="279"/>
      <c r="S145" s="279"/>
      <c r="T145" s="279"/>
      <c r="U145" s="279"/>
      <c r="V145" s="279"/>
      <c r="W145" s="279"/>
      <c r="X145" s="279"/>
      <c r="Y145" s="279"/>
      <c r="Z145" s="279"/>
      <c r="AA145" s="279"/>
      <c r="AB145" s="279"/>
      <c r="AC145" s="279"/>
      <c r="AD145" s="279"/>
      <c r="AE145" s="279"/>
      <c r="AF145" s="279"/>
      <c r="AG145" s="279"/>
      <c r="AH145" s="279"/>
      <c r="AI145" s="279"/>
      <c r="AJ145" s="279"/>
      <c r="AK145" s="279"/>
      <c r="AL145" s="279"/>
      <c r="AM145" s="279"/>
      <c r="AN145" s="279"/>
      <c r="AO145" s="279"/>
      <c r="AP145" s="279"/>
      <c r="AQ145" s="279"/>
      <c r="AR145" s="279"/>
      <c r="AS145" s="279"/>
      <c r="AT145" s="279"/>
      <c r="AU145" s="279"/>
      <c r="AV145" s="279"/>
      <c r="AW145" s="279"/>
      <c r="AX145" s="279"/>
      <c r="AY145" s="279"/>
      <c r="AZ145" s="279"/>
      <c r="BA145" s="279"/>
      <c r="BB145" s="279"/>
      <c r="BC145" s="279"/>
      <c r="BD145" s="279"/>
      <c r="BE145" s="279"/>
      <c r="BF145" s="279"/>
    </row>
    <row r="146" ht="14.25" customHeight="1">
      <c r="A146" s="22"/>
      <c r="B146" s="276"/>
      <c r="C146" s="279"/>
      <c r="D146" s="279"/>
      <c r="E146" s="279"/>
      <c r="F146" s="279"/>
      <c r="G146" s="279"/>
      <c r="H146" s="279"/>
      <c r="I146" s="279"/>
      <c r="J146" s="279"/>
      <c r="K146" s="279"/>
      <c r="L146" s="279"/>
      <c r="M146" s="279"/>
      <c r="N146" s="279"/>
      <c r="O146" s="279"/>
      <c r="P146" s="279"/>
      <c r="Q146" s="279"/>
      <c r="R146" s="279"/>
      <c r="S146" s="279"/>
      <c r="T146" s="279"/>
      <c r="U146" s="279"/>
      <c r="V146" s="279"/>
      <c r="W146" s="279"/>
      <c r="X146" s="279"/>
      <c r="Y146" s="279"/>
      <c r="Z146" s="279"/>
      <c r="AA146" s="279"/>
      <c r="AB146" s="279"/>
      <c r="AC146" s="279"/>
      <c r="AD146" s="279"/>
      <c r="AE146" s="279"/>
      <c r="AF146" s="279"/>
      <c r="AG146" s="279"/>
      <c r="AH146" s="279"/>
      <c r="AI146" s="279"/>
      <c r="AJ146" s="279"/>
      <c r="AK146" s="279"/>
      <c r="AL146" s="279"/>
      <c r="AM146" s="279"/>
      <c r="AN146" s="279"/>
      <c r="AO146" s="279"/>
      <c r="AP146" s="279"/>
      <c r="AQ146" s="279"/>
      <c r="AR146" s="279"/>
      <c r="AS146" s="279"/>
      <c r="AT146" s="279"/>
      <c r="AU146" s="279"/>
      <c r="AV146" s="279"/>
      <c r="AW146" s="279"/>
      <c r="AX146" s="279"/>
      <c r="AY146" s="279"/>
      <c r="AZ146" s="279"/>
      <c r="BA146" s="279"/>
      <c r="BB146" s="279"/>
      <c r="BC146" s="279"/>
      <c r="BD146" s="279"/>
      <c r="BE146" s="279"/>
      <c r="BF146" s="279"/>
    </row>
    <row r="147" ht="14.25" customHeight="1">
      <c r="A147" s="22"/>
      <c r="B147" s="276"/>
      <c r="C147" s="279"/>
      <c r="D147" s="279"/>
      <c r="E147" s="279"/>
      <c r="F147" s="279"/>
      <c r="G147" s="279"/>
      <c r="H147" s="279"/>
      <c r="I147" s="279"/>
      <c r="J147" s="279"/>
      <c r="K147" s="279"/>
      <c r="L147" s="279"/>
      <c r="M147" s="279"/>
      <c r="N147" s="279"/>
      <c r="O147" s="279"/>
      <c r="P147" s="279"/>
      <c r="Q147" s="279"/>
      <c r="R147" s="279"/>
      <c r="S147" s="279"/>
      <c r="T147" s="279"/>
      <c r="U147" s="279"/>
      <c r="V147" s="279"/>
      <c r="W147" s="279"/>
      <c r="X147" s="279"/>
      <c r="Y147" s="279"/>
      <c r="Z147" s="279"/>
      <c r="AA147" s="279"/>
      <c r="AB147" s="279"/>
      <c r="AC147" s="279"/>
      <c r="AD147" s="279"/>
      <c r="AE147" s="279"/>
      <c r="AF147" s="279"/>
      <c r="AG147" s="279"/>
      <c r="AH147" s="279"/>
      <c r="AI147" s="279"/>
      <c r="AJ147" s="279"/>
      <c r="AK147" s="279"/>
      <c r="AL147" s="279"/>
      <c r="AM147" s="279"/>
      <c r="AN147" s="279"/>
      <c r="AO147" s="279"/>
      <c r="AP147" s="279"/>
      <c r="AQ147" s="279"/>
      <c r="AR147" s="279"/>
      <c r="AS147" s="279"/>
      <c r="AT147" s="279"/>
      <c r="AU147" s="279"/>
      <c r="AV147" s="279"/>
      <c r="AW147" s="279"/>
      <c r="AX147" s="279"/>
      <c r="AY147" s="279"/>
      <c r="AZ147" s="279"/>
      <c r="BA147" s="279"/>
      <c r="BB147" s="279"/>
      <c r="BC147" s="279"/>
      <c r="BD147" s="279"/>
      <c r="BE147" s="279"/>
      <c r="BF147" s="279"/>
    </row>
    <row r="148" ht="14.25" customHeight="1">
      <c r="A148" s="22"/>
      <c r="B148" s="272"/>
      <c r="C148" s="272"/>
      <c r="D148" s="272"/>
      <c r="E148" s="272"/>
      <c r="F148" s="272"/>
      <c r="G148" s="272"/>
      <c r="H148" s="272"/>
      <c r="I148" s="272"/>
      <c r="J148" s="272"/>
      <c r="K148" s="272"/>
      <c r="L148" s="272"/>
      <c r="M148" s="272"/>
      <c r="N148" s="272"/>
      <c r="O148" s="272"/>
      <c r="P148" s="272"/>
      <c r="Q148" s="272"/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  <c r="AB148" s="272"/>
      <c r="AC148" s="272"/>
      <c r="AD148" s="272"/>
      <c r="AE148" s="272"/>
      <c r="AF148" s="272"/>
      <c r="AG148" s="272"/>
      <c r="AH148" s="272"/>
      <c r="AI148" s="272"/>
      <c r="AJ148" s="272"/>
      <c r="AK148" s="272"/>
      <c r="AL148" s="272"/>
      <c r="AM148" s="272"/>
      <c r="AN148" s="272"/>
      <c r="AO148" s="272"/>
      <c r="AP148" s="272"/>
      <c r="AQ148" s="272"/>
      <c r="AR148" s="272"/>
      <c r="AS148" s="272"/>
      <c r="AT148" s="272"/>
      <c r="AU148" s="272"/>
      <c r="AV148" s="272"/>
      <c r="AW148" s="272"/>
      <c r="AX148" s="272"/>
      <c r="AY148" s="272"/>
      <c r="AZ148" s="272"/>
      <c r="BA148" s="272"/>
      <c r="BB148" s="279"/>
      <c r="BC148" s="279"/>
      <c r="BD148" s="279"/>
      <c r="BE148" s="279"/>
      <c r="BF148" s="279"/>
    </row>
    <row r="149" ht="14.25" customHeight="1">
      <c r="A149" s="22"/>
      <c r="B149" s="272"/>
      <c r="C149" s="272"/>
      <c r="D149" s="272"/>
      <c r="E149" s="272"/>
      <c r="F149" s="272"/>
      <c r="G149" s="272"/>
      <c r="H149" s="272"/>
      <c r="I149" s="272"/>
      <c r="J149" s="272"/>
      <c r="K149" s="272"/>
      <c r="L149" s="272"/>
      <c r="M149" s="272"/>
      <c r="N149" s="272"/>
      <c r="O149" s="272"/>
      <c r="P149" s="272"/>
      <c r="Q149" s="272"/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  <c r="AB149" s="272"/>
      <c r="AC149" s="272"/>
      <c r="AD149" s="272"/>
      <c r="AE149" s="272"/>
      <c r="AF149" s="272"/>
      <c r="AG149" s="272"/>
      <c r="AH149" s="272"/>
      <c r="AI149" s="272"/>
      <c r="AJ149" s="272"/>
      <c r="AK149" s="272"/>
      <c r="AL149" s="272"/>
      <c r="AM149" s="272"/>
      <c r="AN149" s="272"/>
      <c r="AO149" s="272"/>
      <c r="AP149" s="272"/>
      <c r="AQ149" s="272"/>
      <c r="AR149" s="272"/>
      <c r="AS149" s="272"/>
      <c r="AT149" s="272"/>
      <c r="AU149" s="272"/>
      <c r="AV149" s="272"/>
      <c r="AW149" s="272"/>
      <c r="AX149" s="272"/>
      <c r="AY149" s="272"/>
      <c r="AZ149" s="272"/>
      <c r="BA149" s="272"/>
      <c r="BB149" s="279"/>
      <c r="BC149" s="279"/>
      <c r="BD149" s="279"/>
      <c r="BE149" s="279"/>
      <c r="BF149" s="279"/>
    </row>
    <row r="150" ht="14.25" customHeight="1">
      <c r="A150" s="22"/>
      <c r="B150" s="276"/>
      <c r="C150" s="279"/>
      <c r="D150" s="279"/>
      <c r="E150" s="279"/>
      <c r="F150" s="279"/>
      <c r="G150" s="279"/>
      <c r="H150" s="279"/>
      <c r="I150" s="279"/>
      <c r="J150" s="279"/>
      <c r="K150" s="279"/>
      <c r="L150" s="279"/>
      <c r="M150" s="279"/>
      <c r="N150" s="279"/>
      <c r="O150" s="279"/>
      <c r="P150" s="279"/>
      <c r="Q150" s="279"/>
      <c r="R150" s="279"/>
      <c r="S150" s="279"/>
      <c r="T150" s="279"/>
      <c r="U150" s="279"/>
      <c r="V150" s="279"/>
      <c r="W150" s="279"/>
      <c r="X150" s="279"/>
      <c r="Y150" s="279"/>
      <c r="Z150" s="279"/>
      <c r="AA150" s="279"/>
      <c r="AB150" s="279"/>
      <c r="AC150" s="279"/>
      <c r="AD150" s="279"/>
      <c r="AE150" s="279"/>
      <c r="AF150" s="279"/>
      <c r="AG150" s="279"/>
      <c r="AH150" s="279"/>
      <c r="AI150" s="279"/>
      <c r="AJ150" s="279"/>
      <c r="AK150" s="279"/>
      <c r="AL150" s="279"/>
      <c r="AM150" s="279"/>
      <c r="AN150" s="279"/>
      <c r="AO150" s="279"/>
      <c r="AP150" s="279"/>
      <c r="AQ150" s="279"/>
      <c r="AR150" s="279"/>
      <c r="AS150" s="279"/>
      <c r="AT150" s="279"/>
      <c r="AU150" s="279"/>
      <c r="AV150" s="279"/>
      <c r="AW150" s="279"/>
      <c r="AX150" s="279"/>
      <c r="AY150" s="279"/>
      <c r="AZ150" s="279"/>
      <c r="BA150" s="279"/>
      <c r="BB150" s="279"/>
      <c r="BC150" s="279"/>
      <c r="BD150" s="279"/>
      <c r="BE150" s="279"/>
      <c r="BF150" s="279"/>
    </row>
    <row r="151" ht="14.25" customHeight="1">
      <c r="A151" s="181"/>
      <c r="B151" s="276"/>
      <c r="C151" s="279"/>
      <c r="D151" s="279"/>
      <c r="E151" s="279"/>
      <c r="F151" s="279"/>
      <c r="G151" s="279"/>
      <c r="H151" s="279"/>
      <c r="I151" s="279"/>
      <c r="J151" s="279"/>
      <c r="K151" s="279"/>
      <c r="L151" s="279"/>
      <c r="M151" s="279"/>
      <c r="N151" s="279"/>
      <c r="O151" s="279"/>
      <c r="P151" s="279"/>
      <c r="Q151" s="279"/>
      <c r="R151" s="279"/>
      <c r="S151" s="279"/>
      <c r="T151" s="279"/>
      <c r="U151" s="279"/>
      <c r="V151" s="279"/>
      <c r="W151" s="279"/>
      <c r="X151" s="279"/>
      <c r="Y151" s="279"/>
      <c r="Z151" s="279"/>
      <c r="AA151" s="279"/>
      <c r="AB151" s="279"/>
      <c r="AC151" s="279"/>
      <c r="AD151" s="279"/>
      <c r="AE151" s="279"/>
      <c r="AF151" s="279"/>
      <c r="AG151" s="279"/>
      <c r="AH151" s="279"/>
      <c r="AI151" s="279"/>
      <c r="AJ151" s="279"/>
      <c r="AK151" s="279"/>
      <c r="AL151" s="279"/>
      <c r="AM151" s="279"/>
      <c r="AN151" s="279"/>
      <c r="AO151" s="279"/>
      <c r="AP151" s="279"/>
      <c r="AQ151" s="279"/>
      <c r="AR151" s="279"/>
      <c r="AS151" s="279"/>
      <c r="AT151" s="279"/>
      <c r="AU151" s="279"/>
      <c r="AV151" s="279"/>
      <c r="AW151" s="279"/>
      <c r="AX151" s="279"/>
      <c r="AY151" s="279"/>
      <c r="AZ151" s="279"/>
      <c r="BA151" s="279"/>
      <c r="BB151" s="279"/>
      <c r="BC151" s="279"/>
      <c r="BD151" s="279"/>
      <c r="BE151" s="279"/>
      <c r="BF151" s="279"/>
    </row>
    <row r="152" ht="14.25" customHeight="1">
      <c r="A152" s="22"/>
      <c r="B152" s="276"/>
      <c r="C152" s="279"/>
      <c r="D152" s="279"/>
      <c r="E152" s="279"/>
      <c r="F152" s="279"/>
      <c r="G152" s="279"/>
      <c r="H152" s="279"/>
      <c r="I152" s="279"/>
      <c r="J152" s="279"/>
      <c r="K152" s="279"/>
      <c r="L152" s="279"/>
      <c r="M152" s="279"/>
      <c r="N152" s="279"/>
      <c r="O152" s="279"/>
      <c r="P152" s="279"/>
      <c r="Q152" s="279"/>
      <c r="R152" s="279"/>
      <c r="S152" s="279"/>
      <c r="T152" s="279"/>
      <c r="U152" s="279"/>
      <c r="V152" s="279"/>
      <c r="W152" s="279"/>
      <c r="X152" s="279"/>
      <c r="Y152" s="279"/>
      <c r="Z152" s="279"/>
      <c r="AA152" s="279"/>
      <c r="AB152" s="279"/>
      <c r="AC152" s="279"/>
      <c r="AD152" s="279"/>
      <c r="AE152" s="279"/>
      <c r="AF152" s="279"/>
      <c r="AG152" s="279"/>
      <c r="AH152" s="279"/>
      <c r="AI152" s="279"/>
      <c r="AJ152" s="279"/>
      <c r="AK152" s="279"/>
      <c r="AL152" s="279"/>
      <c r="AM152" s="279"/>
      <c r="AN152" s="279"/>
      <c r="AO152" s="279"/>
      <c r="AP152" s="279"/>
      <c r="AQ152" s="279"/>
      <c r="AR152" s="279"/>
      <c r="AS152" s="279"/>
      <c r="AT152" s="279"/>
      <c r="AU152" s="279"/>
      <c r="AV152" s="279"/>
      <c r="AW152" s="279"/>
      <c r="AX152" s="279"/>
      <c r="AY152" s="279"/>
      <c r="AZ152" s="279"/>
      <c r="BA152" s="279"/>
      <c r="BB152" s="279"/>
      <c r="BC152" s="279"/>
      <c r="BD152" s="279"/>
      <c r="BE152" s="279"/>
      <c r="BF152" s="279"/>
    </row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1">
    <mergeCell ref="AG3:AJ3"/>
    <mergeCell ref="AK3:AN3"/>
    <mergeCell ref="AO3:AS3"/>
    <mergeCell ref="AT3:AW3"/>
    <mergeCell ref="AX3:BA3"/>
    <mergeCell ref="BB4:BE4"/>
    <mergeCell ref="H1:AB1"/>
    <mergeCell ref="AF1:AN1"/>
    <mergeCell ref="B3:F3"/>
    <mergeCell ref="G3:J3"/>
    <mergeCell ref="K3:N3"/>
    <mergeCell ref="O3:S3"/>
    <mergeCell ref="T3:W3"/>
    <mergeCell ref="X31:AA31"/>
    <mergeCell ref="AB31:AF31"/>
    <mergeCell ref="AG31:AJ31"/>
    <mergeCell ref="AK31:AN31"/>
    <mergeCell ref="AO31:AS31"/>
    <mergeCell ref="AT31:AW31"/>
    <mergeCell ref="AX31:BA31"/>
    <mergeCell ref="X3:AA3"/>
    <mergeCell ref="AB3:AF3"/>
    <mergeCell ref="B31:F31"/>
    <mergeCell ref="G31:J31"/>
    <mergeCell ref="K31:N31"/>
    <mergeCell ref="O31:S31"/>
    <mergeCell ref="T31:W31"/>
    <mergeCell ref="AG59:AJ59"/>
    <mergeCell ref="AK59:AN59"/>
    <mergeCell ref="AO59:AS59"/>
    <mergeCell ref="AT59:AW59"/>
    <mergeCell ref="AX59:BA59"/>
    <mergeCell ref="B59:F59"/>
    <mergeCell ref="G59:J59"/>
    <mergeCell ref="K59:N59"/>
    <mergeCell ref="O59:S59"/>
    <mergeCell ref="T59:W59"/>
    <mergeCell ref="X59:AA59"/>
    <mergeCell ref="AB59:AF59"/>
    <mergeCell ref="AG62:AJ62"/>
    <mergeCell ref="AK62:AN62"/>
    <mergeCell ref="AO62:AS62"/>
    <mergeCell ref="AT62:AW62"/>
    <mergeCell ref="AX62:BA62"/>
    <mergeCell ref="B62:F62"/>
    <mergeCell ref="G62:J62"/>
    <mergeCell ref="K62:N62"/>
    <mergeCell ref="O62:S62"/>
    <mergeCell ref="T62:W62"/>
    <mergeCell ref="X62:AA62"/>
    <mergeCell ref="AB62:AF62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8.71"/>
    <col customWidth="1" min="3" max="3" width="9.14"/>
    <col customWidth="1" min="4" max="7" width="8.71"/>
    <col customWidth="1" min="8" max="8" width="9.14"/>
    <col customWidth="1" min="9" max="26" width="8.71"/>
  </cols>
  <sheetData>
    <row r="1" ht="21.0" customHeight="1">
      <c r="A1" s="281" t="s">
        <v>424</v>
      </c>
      <c r="B1" s="2"/>
      <c r="C1" s="2"/>
      <c r="D1" s="2"/>
      <c r="E1" s="2"/>
      <c r="F1" s="2"/>
      <c r="G1" s="3"/>
      <c r="H1" s="282"/>
      <c r="I1" s="52" t="s">
        <v>425</v>
      </c>
    </row>
    <row r="2" ht="15.0" customHeight="1">
      <c r="H2" s="282"/>
      <c r="R2" s="124"/>
    </row>
    <row r="3" ht="15.0" customHeight="1">
      <c r="A3" s="283" t="s">
        <v>426</v>
      </c>
      <c r="B3" s="284" t="s">
        <v>427</v>
      </c>
      <c r="C3" s="285" t="s">
        <v>428</v>
      </c>
      <c r="D3" s="286" t="s">
        <v>429</v>
      </c>
      <c r="E3" s="109" t="s">
        <v>430</v>
      </c>
      <c r="F3" s="287" t="s">
        <v>431</v>
      </c>
      <c r="G3" s="288" t="s">
        <v>432</v>
      </c>
      <c r="H3" s="282"/>
      <c r="I3" s="289" t="s">
        <v>433</v>
      </c>
      <c r="J3" s="142"/>
      <c r="K3" s="143"/>
      <c r="L3" s="290"/>
      <c r="R3" s="124"/>
    </row>
    <row r="4" ht="15.0" customHeight="1">
      <c r="A4" s="291" t="s">
        <v>5</v>
      </c>
      <c r="B4" s="292">
        <v>17.0</v>
      </c>
      <c r="C4" s="293">
        <v>26.0</v>
      </c>
      <c r="D4" s="294"/>
      <c r="E4" s="295">
        <v>7.0</v>
      </c>
      <c r="F4" s="296">
        <v>4.0</v>
      </c>
      <c r="G4" s="297">
        <v>6.0</v>
      </c>
      <c r="H4" s="282"/>
      <c r="R4" s="124"/>
    </row>
    <row r="5" ht="15.0" customHeight="1">
      <c r="A5" s="291" t="s">
        <v>120</v>
      </c>
      <c r="B5" s="292">
        <v>16.0</v>
      </c>
      <c r="C5" s="293">
        <v>17.0</v>
      </c>
      <c r="D5" s="294"/>
      <c r="E5" s="274">
        <v>10.0</v>
      </c>
      <c r="F5" s="296">
        <v>4.0</v>
      </c>
      <c r="G5" s="298">
        <v>2.0</v>
      </c>
      <c r="H5" s="282"/>
      <c r="I5" s="52" t="s">
        <v>434</v>
      </c>
      <c r="M5" s="299">
        <v>19.0</v>
      </c>
      <c r="N5" s="187" t="s">
        <v>435</v>
      </c>
      <c r="P5" s="23"/>
      <c r="R5" s="124"/>
    </row>
    <row r="6" ht="15.0" customHeight="1">
      <c r="A6" s="291" t="s">
        <v>18</v>
      </c>
      <c r="B6" s="292">
        <v>17.0</v>
      </c>
      <c r="C6" s="293">
        <v>13.0</v>
      </c>
      <c r="D6" s="294">
        <v>1.0</v>
      </c>
      <c r="E6" s="274">
        <v>3.0</v>
      </c>
      <c r="F6" s="300">
        <v>5.0</v>
      </c>
      <c r="G6" s="298">
        <v>9.0</v>
      </c>
      <c r="H6" s="282"/>
      <c r="I6" s="52" t="s">
        <v>436</v>
      </c>
      <c r="M6" s="301">
        <v>32.0</v>
      </c>
      <c r="N6" s="187" t="s">
        <v>437</v>
      </c>
      <c r="P6" s="23"/>
      <c r="R6" s="124"/>
    </row>
    <row r="7" ht="15.0" customHeight="1">
      <c r="A7" s="291" t="s">
        <v>13</v>
      </c>
      <c r="B7" s="302">
        <v>19.0</v>
      </c>
      <c r="C7" s="303">
        <v>32.0</v>
      </c>
      <c r="D7" s="294">
        <v>1.0</v>
      </c>
      <c r="E7" s="295">
        <v>6.0</v>
      </c>
      <c r="F7" s="300">
        <v>5.0</v>
      </c>
      <c r="G7" s="297">
        <v>8.0</v>
      </c>
      <c r="H7" s="282"/>
      <c r="I7" s="52" t="s">
        <v>438</v>
      </c>
      <c r="M7" s="304">
        <v>10.0</v>
      </c>
      <c r="N7" s="187" t="s">
        <v>120</v>
      </c>
      <c r="P7" s="23"/>
      <c r="R7" s="124"/>
    </row>
    <row r="8" ht="15.0" customHeight="1">
      <c r="A8" s="291" t="s">
        <v>7</v>
      </c>
      <c r="B8" s="292">
        <v>18.0</v>
      </c>
      <c r="C8" s="293">
        <v>12.0</v>
      </c>
      <c r="D8" s="294"/>
      <c r="E8" s="295">
        <v>6.0</v>
      </c>
      <c r="F8" s="300">
        <v>5.0</v>
      </c>
      <c r="G8" s="297">
        <v>7.0</v>
      </c>
      <c r="H8" s="282"/>
      <c r="I8" s="52" t="s">
        <v>439</v>
      </c>
      <c r="M8" s="305">
        <v>9.0</v>
      </c>
      <c r="N8" s="187" t="s">
        <v>18</v>
      </c>
      <c r="P8" s="23"/>
      <c r="R8" s="124"/>
    </row>
    <row r="9" ht="15.0" customHeight="1">
      <c r="A9" s="291" t="s">
        <v>17</v>
      </c>
      <c r="B9" s="302">
        <v>19.0</v>
      </c>
      <c r="C9" s="293">
        <v>31.0</v>
      </c>
      <c r="D9" s="306">
        <v>2.0</v>
      </c>
      <c r="E9" s="295">
        <v>7.0</v>
      </c>
      <c r="F9" s="300">
        <v>5.0</v>
      </c>
      <c r="G9" s="297">
        <v>7.0</v>
      </c>
      <c r="H9" s="282"/>
      <c r="I9" s="52" t="s">
        <v>440</v>
      </c>
      <c r="M9" s="307">
        <v>5.0</v>
      </c>
      <c r="N9" s="187" t="s">
        <v>441</v>
      </c>
      <c r="O9" s="187"/>
      <c r="P9" s="187"/>
      <c r="Q9" s="308"/>
      <c r="R9" s="48"/>
    </row>
    <row r="10" ht="15.0" customHeight="1">
      <c r="A10" s="291" t="s">
        <v>15</v>
      </c>
      <c r="B10" s="292">
        <v>11.0</v>
      </c>
      <c r="C10" s="293">
        <v>8.0</v>
      </c>
      <c r="D10" s="294"/>
      <c r="E10" s="274">
        <v>3.0</v>
      </c>
      <c r="F10" s="296">
        <v>3.0</v>
      </c>
      <c r="G10" s="297">
        <v>5.0</v>
      </c>
      <c r="H10" s="282"/>
      <c r="I10" s="52" t="s">
        <v>442</v>
      </c>
      <c r="M10" s="304">
        <v>1.0</v>
      </c>
      <c r="N10" s="187" t="s">
        <v>6</v>
      </c>
      <c r="P10" s="23"/>
      <c r="R10" s="48"/>
    </row>
    <row r="11" ht="15.0" customHeight="1">
      <c r="A11" s="291" t="s">
        <v>11</v>
      </c>
      <c r="B11" s="292">
        <v>11.0</v>
      </c>
      <c r="C11" s="293">
        <v>17.0</v>
      </c>
      <c r="D11" s="294">
        <v>1.0</v>
      </c>
      <c r="E11" s="274">
        <v>3.0</v>
      </c>
      <c r="F11" s="296">
        <v>3.0</v>
      </c>
      <c r="G11" s="297">
        <v>5.0</v>
      </c>
      <c r="H11" s="282"/>
      <c r="I11" s="52" t="s">
        <v>443</v>
      </c>
      <c r="M11" s="305">
        <v>3.0</v>
      </c>
      <c r="N11" s="187" t="s">
        <v>444</v>
      </c>
      <c r="R11" s="124"/>
    </row>
    <row r="12" ht="15.0" customHeight="1">
      <c r="A12" s="291" t="s">
        <v>6</v>
      </c>
      <c r="B12" s="292">
        <v>8.0</v>
      </c>
      <c r="C12" s="293">
        <v>5.0</v>
      </c>
      <c r="D12" s="294"/>
      <c r="E12" s="295">
        <v>4.0</v>
      </c>
      <c r="F12" s="296">
        <v>3.0</v>
      </c>
      <c r="G12" s="297">
        <v>1.0</v>
      </c>
      <c r="H12" s="282"/>
      <c r="I12" s="52" t="s">
        <v>445</v>
      </c>
      <c r="M12" s="124">
        <v>7.0</v>
      </c>
      <c r="N12" s="309" t="s">
        <v>446</v>
      </c>
      <c r="O12" s="309"/>
      <c r="P12" s="23"/>
    </row>
    <row r="13" ht="15.0" customHeight="1">
      <c r="A13" s="291" t="s">
        <v>14</v>
      </c>
      <c r="B13" s="292">
        <v>16.0</v>
      </c>
      <c r="C13" s="303">
        <v>32.0</v>
      </c>
      <c r="D13" s="294"/>
      <c r="E13" s="295">
        <v>8.0</v>
      </c>
      <c r="F13" s="296">
        <v>4.0</v>
      </c>
      <c r="G13" s="297">
        <v>4.0</v>
      </c>
      <c r="H13" s="282"/>
      <c r="I13" s="52" t="s">
        <v>447</v>
      </c>
      <c r="M13" s="124">
        <v>10.0</v>
      </c>
      <c r="N13" s="309" t="s">
        <v>448</v>
      </c>
      <c r="O13" s="309"/>
      <c r="P13" s="23"/>
    </row>
    <row r="14" ht="15.0" customHeight="1">
      <c r="A14" s="291" t="s">
        <v>20</v>
      </c>
      <c r="B14" s="292">
        <v>9.0</v>
      </c>
      <c r="C14" s="293">
        <v>12.0</v>
      </c>
      <c r="D14" s="294"/>
      <c r="E14" s="295">
        <v>4.0</v>
      </c>
      <c r="F14" s="296">
        <v>1.0</v>
      </c>
      <c r="G14" s="297">
        <v>4.0</v>
      </c>
      <c r="H14" s="282"/>
      <c r="I14" s="52" t="s">
        <v>449</v>
      </c>
      <c r="M14" s="310">
        <v>2.0</v>
      </c>
      <c r="N14" s="187" t="s">
        <v>17</v>
      </c>
      <c r="P14" s="23"/>
      <c r="R14" s="52" t="s">
        <v>450</v>
      </c>
    </row>
    <row r="15" ht="15.0" customHeight="1">
      <c r="A15" s="291" t="s">
        <v>4</v>
      </c>
      <c r="B15" s="292">
        <v>14.0</v>
      </c>
      <c r="C15" s="293">
        <v>18.0</v>
      </c>
      <c r="D15" s="294"/>
      <c r="E15" s="295">
        <v>5.0</v>
      </c>
      <c r="F15" s="296">
        <v>4.0</v>
      </c>
      <c r="G15" s="297">
        <v>5.0</v>
      </c>
      <c r="H15" s="282"/>
      <c r="I15" s="52" t="s">
        <v>451</v>
      </c>
      <c r="M15" s="311">
        <v>5.0</v>
      </c>
      <c r="N15" s="187" t="s">
        <v>14</v>
      </c>
      <c r="O15" s="187"/>
      <c r="P15" s="23"/>
    </row>
    <row r="16" ht="15.0" customHeight="1">
      <c r="A16" s="291" t="s">
        <v>452</v>
      </c>
      <c r="B16" s="292">
        <v>3.0</v>
      </c>
      <c r="C16" s="293">
        <v>2.0</v>
      </c>
      <c r="D16" s="294"/>
      <c r="E16" s="295">
        <v>1.0</v>
      </c>
      <c r="F16" s="296"/>
      <c r="G16" s="297">
        <v>2.0</v>
      </c>
      <c r="H16" s="282"/>
      <c r="I16" s="52" t="s">
        <v>453</v>
      </c>
      <c r="M16" s="301">
        <v>3.0</v>
      </c>
      <c r="N16" s="52" t="s">
        <v>454</v>
      </c>
    </row>
    <row r="17" ht="15.0" customHeight="1">
      <c r="A17" s="291" t="s">
        <v>9</v>
      </c>
      <c r="B17" s="292">
        <v>1.0</v>
      </c>
      <c r="C17" s="293">
        <v>2.0</v>
      </c>
      <c r="D17" s="294"/>
      <c r="E17" s="295">
        <v>1.0</v>
      </c>
      <c r="F17" s="296"/>
      <c r="G17" s="297"/>
      <c r="H17" s="282"/>
    </row>
    <row r="18" ht="15.0" customHeight="1">
      <c r="A18" s="291" t="s">
        <v>455</v>
      </c>
      <c r="B18" s="292">
        <v>2.0</v>
      </c>
      <c r="C18" s="293">
        <v>2.0</v>
      </c>
      <c r="D18" s="294"/>
      <c r="E18" s="295">
        <v>1.0</v>
      </c>
      <c r="F18" s="296"/>
      <c r="G18" s="297">
        <v>1.0</v>
      </c>
      <c r="H18" s="282"/>
    </row>
    <row r="19" ht="15.0" customHeight="1">
      <c r="A19" s="291" t="s">
        <v>26</v>
      </c>
      <c r="B19" s="292">
        <v>6.0</v>
      </c>
      <c r="C19" s="293">
        <v>13.0</v>
      </c>
      <c r="D19" s="294"/>
      <c r="E19" s="274">
        <v>3.0</v>
      </c>
      <c r="F19" s="296">
        <v>1.0</v>
      </c>
      <c r="G19" s="297">
        <v>2.0</v>
      </c>
      <c r="H19" s="282"/>
      <c r="I19" s="312" t="s">
        <v>456</v>
      </c>
      <c r="J19" s="142"/>
      <c r="K19" s="143"/>
      <c r="L19" s="313"/>
    </row>
    <row r="20" ht="15.0" customHeight="1">
      <c r="A20" s="291" t="s">
        <v>39</v>
      </c>
      <c r="B20" s="292">
        <v>4.0</v>
      </c>
      <c r="C20" s="293">
        <v>6.0</v>
      </c>
      <c r="D20" s="294"/>
      <c r="E20" s="295">
        <v>1.0</v>
      </c>
      <c r="F20" s="296">
        <v>3.0</v>
      </c>
      <c r="G20" s="297"/>
      <c r="H20" s="282"/>
    </row>
    <row r="21" ht="15.0" customHeight="1">
      <c r="A21" s="291" t="s">
        <v>57</v>
      </c>
      <c r="B21" s="292">
        <v>1.0</v>
      </c>
      <c r="C21" s="293">
        <v>1.0</v>
      </c>
      <c r="D21" s="294"/>
      <c r="E21" s="295"/>
      <c r="F21" s="296"/>
      <c r="G21" s="297">
        <v>1.0</v>
      </c>
      <c r="H21" s="282"/>
      <c r="I21" s="52" t="s">
        <v>457</v>
      </c>
      <c r="M21" s="124">
        <v>65.0</v>
      </c>
      <c r="N21" s="52" t="s">
        <v>458</v>
      </c>
    </row>
    <row r="22" ht="15.0" customHeight="1">
      <c r="A22" s="291" t="s">
        <v>54</v>
      </c>
      <c r="B22" s="292">
        <v>1.0</v>
      </c>
      <c r="C22" s="293">
        <v>3.0</v>
      </c>
      <c r="D22" s="294"/>
      <c r="E22" s="295">
        <v>1.0</v>
      </c>
      <c r="F22" s="296"/>
      <c r="G22" s="297"/>
      <c r="H22" s="282"/>
      <c r="I22" s="52" t="s">
        <v>459</v>
      </c>
      <c r="M22" s="314" t="s">
        <v>460</v>
      </c>
      <c r="N22" s="315" t="s">
        <v>461</v>
      </c>
    </row>
    <row r="23" ht="15.0" customHeight="1">
      <c r="A23" s="291" t="s">
        <v>462</v>
      </c>
      <c r="B23" s="292">
        <v>1.0</v>
      </c>
      <c r="C23" s="293">
        <v>1.0</v>
      </c>
      <c r="D23" s="294"/>
      <c r="E23" s="295">
        <v>1.0</v>
      </c>
      <c r="F23" s="296"/>
      <c r="G23" s="297"/>
      <c r="H23" s="282"/>
      <c r="I23" s="52" t="s">
        <v>463</v>
      </c>
      <c r="M23" s="124" t="s">
        <v>464</v>
      </c>
      <c r="N23" s="52" t="s">
        <v>465</v>
      </c>
    </row>
    <row r="24" ht="15.0" customHeight="1">
      <c r="A24" s="291" t="s">
        <v>55</v>
      </c>
      <c r="B24" s="292">
        <v>1.0</v>
      </c>
      <c r="C24" s="293">
        <v>1.0</v>
      </c>
      <c r="D24" s="294"/>
      <c r="E24" s="295"/>
      <c r="F24" s="296"/>
      <c r="G24" s="297">
        <v>1.0</v>
      </c>
      <c r="H24" s="282"/>
      <c r="I24" s="52" t="s">
        <v>466</v>
      </c>
      <c r="M24" s="124">
        <v>259.0</v>
      </c>
      <c r="N24" s="52" t="s">
        <v>467</v>
      </c>
    </row>
    <row r="25" ht="15.0" customHeight="1">
      <c r="A25" s="316" t="s">
        <v>3</v>
      </c>
      <c r="B25" s="20"/>
      <c r="C25" s="293">
        <f>C4+C5+C6+C7+C8+C9+C10+C11+C12+C13+C14+C15++C16+C17+C18+C19+C20+C21+C22+C23+C24</f>
        <v>254</v>
      </c>
      <c r="D25" s="294">
        <f>D6+D7+D9+D11</f>
        <v>5</v>
      </c>
      <c r="H25" s="282"/>
      <c r="I25" s="52" t="s">
        <v>468</v>
      </c>
      <c r="M25" s="124">
        <v>12.0</v>
      </c>
      <c r="N25" s="52" t="s">
        <v>469</v>
      </c>
    </row>
    <row r="26" ht="21.0" customHeight="1">
      <c r="A26" s="317"/>
      <c r="B26" s="33"/>
      <c r="C26" s="318">
        <f>C25+D25</f>
        <v>259</v>
      </c>
      <c r="D26" s="3"/>
      <c r="H26" s="282"/>
      <c r="I26" s="52" t="s">
        <v>470</v>
      </c>
      <c r="M26" s="124">
        <v>20.0</v>
      </c>
    </row>
    <row r="27" ht="21.0" customHeight="1">
      <c r="A27" s="319"/>
      <c r="B27" s="319"/>
      <c r="C27" s="320"/>
      <c r="D27" s="320"/>
      <c r="H27" s="282"/>
    </row>
    <row r="28" ht="21.0" customHeight="1">
      <c r="A28" s="319"/>
      <c r="B28" s="319"/>
      <c r="C28" s="320"/>
      <c r="D28" s="320"/>
      <c r="H28" s="282"/>
    </row>
    <row r="29" ht="21.0" customHeight="1">
      <c r="H29" s="282"/>
    </row>
    <row r="30" ht="21.0" customHeight="1">
      <c r="A30" s="321" t="s">
        <v>471</v>
      </c>
      <c r="B30" s="142"/>
      <c r="C30" s="142"/>
      <c r="D30" s="142"/>
      <c r="E30" s="142"/>
      <c r="F30" s="142"/>
      <c r="G30" s="142"/>
      <c r="H30" s="143"/>
      <c r="J30" s="52" t="s">
        <v>472</v>
      </c>
      <c r="L30" s="52" t="s">
        <v>473</v>
      </c>
    </row>
    <row r="31" ht="15.0" customHeight="1">
      <c r="F31" s="184"/>
      <c r="H31" s="282"/>
      <c r="I31" s="282"/>
    </row>
    <row r="32" ht="15.0" customHeight="1">
      <c r="A32" s="322" t="s">
        <v>474</v>
      </c>
      <c r="B32" s="284" t="s">
        <v>427</v>
      </c>
      <c r="C32" s="285" t="s">
        <v>428</v>
      </c>
      <c r="D32" s="286" t="s">
        <v>429</v>
      </c>
      <c r="E32" s="108" t="s">
        <v>475</v>
      </c>
      <c r="F32" s="323" t="s">
        <v>430</v>
      </c>
      <c r="G32" s="324" t="s">
        <v>431</v>
      </c>
      <c r="H32" s="325" t="s">
        <v>432</v>
      </c>
      <c r="I32" s="326" t="s">
        <v>72</v>
      </c>
      <c r="J32" s="327" t="s">
        <v>476</v>
      </c>
      <c r="K32" s="282"/>
      <c r="L32" s="289" t="s">
        <v>433</v>
      </c>
      <c r="M32" s="142"/>
      <c r="N32" s="143"/>
    </row>
    <row r="33" ht="15.0" customHeight="1">
      <c r="A33" s="22" t="s">
        <v>5</v>
      </c>
      <c r="B33" s="302">
        <v>32.0</v>
      </c>
      <c r="C33" s="303">
        <v>70.0</v>
      </c>
      <c r="D33" s="294"/>
      <c r="E33" s="328">
        <v>53.0</v>
      </c>
      <c r="F33" s="329">
        <v>23.0</v>
      </c>
      <c r="G33" s="300">
        <v>3.0</v>
      </c>
      <c r="H33" s="330">
        <v>6.0</v>
      </c>
      <c r="I33" s="331">
        <v>5.0</v>
      </c>
      <c r="J33" s="332">
        <v>7.0</v>
      </c>
      <c r="K33" s="282"/>
    </row>
    <row r="34" ht="15.0" customHeight="1">
      <c r="A34" s="22" t="s">
        <v>120</v>
      </c>
      <c r="B34" s="292">
        <v>30.0</v>
      </c>
      <c r="C34" s="293">
        <v>42.0</v>
      </c>
      <c r="D34" s="294">
        <v>1.0</v>
      </c>
      <c r="E34" s="333">
        <v>39.0</v>
      </c>
      <c r="F34" s="334">
        <v>20.0</v>
      </c>
      <c r="G34" s="296">
        <v>2.0</v>
      </c>
      <c r="H34" s="335">
        <v>8.0</v>
      </c>
      <c r="I34" s="336">
        <v>4.0</v>
      </c>
      <c r="J34" s="337">
        <v>2.0</v>
      </c>
      <c r="K34" s="282"/>
      <c r="L34" s="52" t="s">
        <v>434</v>
      </c>
      <c r="P34" s="299">
        <v>32.0</v>
      </c>
      <c r="Q34" s="52" t="s">
        <v>5</v>
      </c>
    </row>
    <row r="35" ht="15.0" customHeight="1">
      <c r="A35" s="22" t="s">
        <v>18</v>
      </c>
      <c r="B35" s="292">
        <v>25.0</v>
      </c>
      <c r="C35" s="293">
        <v>9.0</v>
      </c>
      <c r="D35" s="294">
        <v>2.0</v>
      </c>
      <c r="E35" s="333">
        <v>11.0</v>
      </c>
      <c r="F35" s="334">
        <v>10.0</v>
      </c>
      <c r="G35" s="300">
        <v>3.0</v>
      </c>
      <c r="H35" s="335">
        <v>12.0</v>
      </c>
      <c r="I35" s="336">
        <v>3.0</v>
      </c>
      <c r="J35" s="337">
        <v>1.0</v>
      </c>
      <c r="K35" s="282"/>
      <c r="L35" s="52" t="s">
        <v>436</v>
      </c>
      <c r="P35" s="301">
        <v>70.0</v>
      </c>
      <c r="Q35" s="52" t="s">
        <v>5</v>
      </c>
    </row>
    <row r="36" ht="15.0" customHeight="1">
      <c r="A36" s="22" t="s">
        <v>13</v>
      </c>
      <c r="B36" s="292">
        <v>25.0</v>
      </c>
      <c r="C36" s="293">
        <v>47.0</v>
      </c>
      <c r="D36" s="294"/>
      <c r="E36" s="333">
        <v>18.0</v>
      </c>
      <c r="F36" s="334">
        <v>12.0</v>
      </c>
      <c r="G36" s="300">
        <v>3.0</v>
      </c>
      <c r="H36" s="335">
        <v>10.0</v>
      </c>
      <c r="I36" s="336">
        <v>4.0</v>
      </c>
      <c r="J36" s="337">
        <v>3.0</v>
      </c>
      <c r="K36" s="282"/>
      <c r="L36" s="52" t="s">
        <v>477</v>
      </c>
      <c r="P36" s="304">
        <v>53.0</v>
      </c>
      <c r="Q36" s="52" t="s">
        <v>5</v>
      </c>
    </row>
    <row r="37" ht="15.0" customHeight="1">
      <c r="A37" s="22" t="s">
        <v>7</v>
      </c>
      <c r="B37" s="292">
        <v>27.0</v>
      </c>
      <c r="C37" s="293">
        <v>21.0</v>
      </c>
      <c r="D37" s="294"/>
      <c r="E37" s="333">
        <v>25.0</v>
      </c>
      <c r="F37" s="334">
        <v>17.0</v>
      </c>
      <c r="G37" s="296">
        <v>2.0</v>
      </c>
      <c r="H37" s="335">
        <v>8.0</v>
      </c>
      <c r="I37" s="336">
        <v>1.0</v>
      </c>
      <c r="J37" s="337">
        <v>1.0</v>
      </c>
      <c r="K37" s="282"/>
      <c r="L37" s="52" t="s">
        <v>438</v>
      </c>
      <c r="P37" s="338">
        <v>23.0</v>
      </c>
      <c r="Q37" s="52" t="s">
        <v>5</v>
      </c>
    </row>
    <row r="38" ht="15.0" customHeight="1">
      <c r="A38" s="22" t="s">
        <v>17</v>
      </c>
      <c r="B38" s="292">
        <v>25.0</v>
      </c>
      <c r="C38" s="293">
        <v>37.0</v>
      </c>
      <c r="D38" s="294">
        <v>1.0</v>
      </c>
      <c r="E38" s="333">
        <v>20.0</v>
      </c>
      <c r="F38" s="334">
        <v>10.0</v>
      </c>
      <c r="G38" s="300">
        <v>3.0</v>
      </c>
      <c r="H38" s="335">
        <v>12.0</v>
      </c>
      <c r="I38" s="336">
        <v>2.0</v>
      </c>
      <c r="J38" s="337">
        <v>2.0</v>
      </c>
      <c r="K38" s="282"/>
      <c r="L38" s="52" t="s">
        <v>439</v>
      </c>
      <c r="P38" s="305">
        <v>13.0</v>
      </c>
      <c r="Q38" s="52" t="s">
        <v>57</v>
      </c>
    </row>
    <row r="39" ht="15.0" customHeight="1">
      <c r="A39" s="22" t="s">
        <v>15</v>
      </c>
      <c r="B39" s="292">
        <v>21.0</v>
      </c>
      <c r="C39" s="293">
        <v>10.0</v>
      </c>
      <c r="D39" s="306">
        <v>3.0</v>
      </c>
      <c r="E39" s="333">
        <v>7.0</v>
      </c>
      <c r="F39" s="334">
        <v>8.0</v>
      </c>
      <c r="G39" s="296">
        <v>2.0</v>
      </c>
      <c r="H39" s="335">
        <v>11.0</v>
      </c>
      <c r="I39" s="336"/>
      <c r="J39" s="337">
        <v>4.0</v>
      </c>
      <c r="K39" s="282"/>
      <c r="L39" s="52" t="s">
        <v>440</v>
      </c>
      <c r="P39" s="307">
        <v>3.0</v>
      </c>
      <c r="Q39" s="52" t="s">
        <v>478</v>
      </c>
    </row>
    <row r="40" ht="15.0" customHeight="1">
      <c r="A40" s="22" t="s">
        <v>14</v>
      </c>
      <c r="B40" s="292">
        <v>19.0</v>
      </c>
      <c r="C40" s="293">
        <v>38.0</v>
      </c>
      <c r="D40" s="294">
        <v>1.0</v>
      </c>
      <c r="E40" s="333">
        <v>30.0</v>
      </c>
      <c r="F40" s="334">
        <v>8.0</v>
      </c>
      <c r="G40" s="296">
        <v>2.0</v>
      </c>
      <c r="H40" s="335">
        <v>9.0</v>
      </c>
      <c r="I40" s="336">
        <v>1.0</v>
      </c>
      <c r="J40" s="337">
        <v>1.0</v>
      </c>
      <c r="K40" s="282"/>
      <c r="L40" s="52" t="s">
        <v>442</v>
      </c>
      <c r="P40" s="304">
        <v>6.0</v>
      </c>
      <c r="Q40" s="52" t="s">
        <v>5</v>
      </c>
    </row>
    <row r="41" ht="15.0" customHeight="1">
      <c r="A41" s="22" t="s">
        <v>11</v>
      </c>
      <c r="B41" s="292">
        <v>12.0</v>
      </c>
      <c r="C41" s="293">
        <v>14.0</v>
      </c>
      <c r="D41" s="294"/>
      <c r="E41" s="333">
        <v>8.0</v>
      </c>
      <c r="F41" s="334">
        <v>5.0</v>
      </c>
      <c r="G41" s="296"/>
      <c r="H41" s="335">
        <v>7.0</v>
      </c>
      <c r="I41" s="336">
        <v>1.0</v>
      </c>
      <c r="J41" s="337">
        <v>2.0</v>
      </c>
      <c r="K41" s="282"/>
      <c r="L41" s="52" t="s">
        <v>443</v>
      </c>
      <c r="P41" s="305">
        <v>1.0</v>
      </c>
      <c r="Q41" s="52" t="s">
        <v>26</v>
      </c>
    </row>
    <row r="42" ht="15.0" customHeight="1">
      <c r="A42" s="22" t="s">
        <v>6</v>
      </c>
      <c r="B42" s="292">
        <v>14.0</v>
      </c>
      <c r="C42" s="293">
        <v>6.0</v>
      </c>
      <c r="D42" s="294"/>
      <c r="E42" s="333">
        <v>5.0</v>
      </c>
      <c r="F42" s="334">
        <v>6.0</v>
      </c>
      <c r="G42" s="296">
        <v>1.0</v>
      </c>
      <c r="H42" s="335">
        <v>7.0</v>
      </c>
      <c r="I42" s="336"/>
      <c r="J42" s="337"/>
      <c r="K42" s="282"/>
      <c r="L42" s="52" t="s">
        <v>445</v>
      </c>
      <c r="P42" s="124">
        <v>8.0</v>
      </c>
      <c r="Q42" s="52" t="s">
        <v>479</v>
      </c>
    </row>
    <row r="43" ht="15.0" customHeight="1">
      <c r="A43" s="22" t="s">
        <v>4</v>
      </c>
      <c r="B43" s="292">
        <v>19.0</v>
      </c>
      <c r="C43" s="293">
        <v>19.0</v>
      </c>
      <c r="D43" s="294"/>
      <c r="E43" s="333">
        <v>8.0</v>
      </c>
      <c r="F43" s="334">
        <v>5.0</v>
      </c>
      <c r="G43" s="296">
        <v>2.0</v>
      </c>
      <c r="H43" s="335">
        <v>12.0</v>
      </c>
      <c r="I43" s="336">
        <v>1.0</v>
      </c>
      <c r="J43" s="337">
        <v>4.0</v>
      </c>
      <c r="K43" s="282"/>
      <c r="L43" s="52" t="s">
        <v>447</v>
      </c>
      <c r="P43" s="124">
        <v>16.0</v>
      </c>
      <c r="Q43" s="52" t="s">
        <v>480</v>
      </c>
    </row>
    <row r="44" ht="15.0" customHeight="1">
      <c r="A44" s="22" t="s">
        <v>26</v>
      </c>
      <c r="B44" s="292">
        <v>8.0</v>
      </c>
      <c r="C44" s="293">
        <v>7.0</v>
      </c>
      <c r="D44" s="294"/>
      <c r="E44" s="333">
        <v>6.0</v>
      </c>
      <c r="F44" s="334">
        <v>1.0</v>
      </c>
      <c r="G44" s="296">
        <v>1.0</v>
      </c>
      <c r="H44" s="335">
        <v>6.0</v>
      </c>
      <c r="I44" s="336"/>
      <c r="J44" s="337"/>
      <c r="K44" s="282"/>
      <c r="L44" s="52" t="s">
        <v>449</v>
      </c>
      <c r="P44" s="310">
        <v>3.0</v>
      </c>
      <c r="Q44" s="52" t="s">
        <v>15</v>
      </c>
    </row>
    <row r="45" ht="15.0" customHeight="1">
      <c r="A45" s="22" t="s">
        <v>20</v>
      </c>
      <c r="B45" s="292">
        <v>16.0</v>
      </c>
      <c r="C45" s="293">
        <v>25.0</v>
      </c>
      <c r="D45" s="294">
        <v>2.0</v>
      </c>
      <c r="E45" s="333">
        <v>6.0</v>
      </c>
      <c r="F45" s="334">
        <v>6.0</v>
      </c>
      <c r="G45" s="296">
        <v>2.0</v>
      </c>
      <c r="H45" s="335">
        <v>8.0</v>
      </c>
      <c r="I45" s="336">
        <v>2.0</v>
      </c>
      <c r="J45" s="337">
        <v>1.0</v>
      </c>
      <c r="K45" s="282"/>
      <c r="L45" s="52" t="s">
        <v>451</v>
      </c>
      <c r="P45" s="311">
        <v>8.0</v>
      </c>
      <c r="Q45" s="52" t="s">
        <v>5</v>
      </c>
    </row>
    <row r="46" ht="15.0" customHeight="1">
      <c r="A46" s="22" t="s">
        <v>57</v>
      </c>
      <c r="B46" s="292">
        <v>18.0</v>
      </c>
      <c r="C46" s="293">
        <v>31.0</v>
      </c>
      <c r="D46" s="294">
        <v>1.0</v>
      </c>
      <c r="E46" s="333">
        <v>5.0</v>
      </c>
      <c r="F46" s="334">
        <v>3.0</v>
      </c>
      <c r="G46" s="296">
        <v>2.0</v>
      </c>
      <c r="H46" s="335">
        <v>13.0</v>
      </c>
      <c r="I46" s="336">
        <v>2.0</v>
      </c>
      <c r="J46" s="337"/>
      <c r="K46" s="282"/>
      <c r="L46" s="52" t="s">
        <v>453</v>
      </c>
      <c r="P46" s="301">
        <v>6.0</v>
      </c>
      <c r="Q46" s="52" t="s">
        <v>57</v>
      </c>
    </row>
    <row r="47" ht="15.0" customHeight="1">
      <c r="A47" s="22" t="s">
        <v>9</v>
      </c>
      <c r="B47" s="292">
        <v>7.0</v>
      </c>
      <c r="C47" s="293">
        <v>7.0</v>
      </c>
      <c r="D47" s="294"/>
      <c r="E47" s="333">
        <v>3.0</v>
      </c>
      <c r="F47" s="334">
        <v>2.0</v>
      </c>
      <c r="G47" s="296"/>
      <c r="H47" s="335">
        <v>5.0</v>
      </c>
      <c r="I47" s="336"/>
      <c r="J47" s="337">
        <v>1.0</v>
      </c>
      <c r="K47" s="282"/>
      <c r="L47" s="52" t="s">
        <v>481</v>
      </c>
      <c r="P47" s="339">
        <v>5.0</v>
      </c>
      <c r="Q47" s="52" t="s">
        <v>5</v>
      </c>
    </row>
    <row r="48" ht="15.0" customHeight="1">
      <c r="A48" s="22" t="s">
        <v>462</v>
      </c>
      <c r="B48" s="292">
        <v>1.0</v>
      </c>
      <c r="C48" s="293"/>
      <c r="D48" s="294"/>
      <c r="E48" s="333">
        <v>1.0</v>
      </c>
      <c r="F48" s="329"/>
      <c r="G48" s="296"/>
      <c r="H48" s="335">
        <v>1.0</v>
      </c>
      <c r="I48" s="336"/>
      <c r="J48" s="337"/>
      <c r="K48" s="282"/>
      <c r="L48" s="52" t="s">
        <v>482</v>
      </c>
      <c r="P48" s="340">
        <v>7.0</v>
      </c>
      <c r="Q48" s="52" t="s">
        <v>5</v>
      </c>
    </row>
    <row r="49" ht="15.0" customHeight="1">
      <c r="A49" s="22" t="s">
        <v>452</v>
      </c>
      <c r="B49" s="292">
        <v>9.0</v>
      </c>
      <c r="C49" s="293">
        <v>12.0</v>
      </c>
      <c r="D49" s="294">
        <v>2.0</v>
      </c>
      <c r="E49" s="333">
        <v>9.0</v>
      </c>
      <c r="F49" s="334">
        <v>3.0</v>
      </c>
      <c r="G49" s="296">
        <v>1.0</v>
      </c>
      <c r="H49" s="335">
        <v>5.0</v>
      </c>
      <c r="I49" s="336">
        <v>2.0</v>
      </c>
      <c r="J49" s="337"/>
      <c r="K49" s="282"/>
    </row>
    <row r="50" ht="15.0" customHeight="1">
      <c r="A50" s="22" t="s">
        <v>121</v>
      </c>
      <c r="B50" s="292">
        <v>1.0</v>
      </c>
      <c r="C50" s="293">
        <v>1.0</v>
      </c>
      <c r="D50" s="294"/>
      <c r="E50" s="333"/>
      <c r="F50" s="334"/>
      <c r="G50" s="296"/>
      <c r="H50" s="335">
        <v>1.0</v>
      </c>
      <c r="I50" s="336"/>
      <c r="J50" s="337"/>
      <c r="K50" s="282"/>
      <c r="L50" s="312" t="s">
        <v>456</v>
      </c>
      <c r="M50" s="142"/>
      <c r="N50" s="143"/>
    </row>
    <row r="51" ht="15.0" customHeight="1">
      <c r="A51" s="22" t="s">
        <v>54</v>
      </c>
      <c r="B51" s="292">
        <v>3.0</v>
      </c>
      <c r="C51" s="293">
        <v>5.0</v>
      </c>
      <c r="D51" s="294"/>
      <c r="E51" s="333">
        <v>6.0</v>
      </c>
      <c r="F51" s="334">
        <v>2.0</v>
      </c>
      <c r="G51" s="296">
        <v>1.0</v>
      </c>
      <c r="H51" s="335"/>
      <c r="I51" s="336">
        <v>2.0</v>
      </c>
      <c r="J51" s="337"/>
      <c r="K51" s="282"/>
    </row>
    <row r="52" ht="15.0" customHeight="1">
      <c r="A52" s="22" t="s">
        <v>483</v>
      </c>
      <c r="B52" s="292">
        <v>1.0</v>
      </c>
      <c r="C52" s="293"/>
      <c r="D52" s="294"/>
      <c r="E52" s="333">
        <v>1.0</v>
      </c>
      <c r="F52" s="334">
        <v>1.0</v>
      </c>
      <c r="G52" s="296"/>
      <c r="H52" s="335"/>
      <c r="I52" s="336"/>
      <c r="J52" s="337"/>
      <c r="K52" s="282"/>
      <c r="L52" s="52" t="s">
        <v>457</v>
      </c>
      <c r="P52" s="124">
        <v>70.0</v>
      </c>
      <c r="Q52" s="52" t="s">
        <v>484</v>
      </c>
    </row>
    <row r="53" ht="15.0" customHeight="1">
      <c r="A53" s="22" t="s">
        <v>55</v>
      </c>
      <c r="B53" s="292">
        <v>3.0</v>
      </c>
      <c r="C53" s="293">
        <v>7.0</v>
      </c>
      <c r="D53" s="294"/>
      <c r="E53" s="333"/>
      <c r="F53" s="334">
        <v>2.0</v>
      </c>
      <c r="G53" s="296"/>
      <c r="H53" s="335">
        <v>1.0</v>
      </c>
      <c r="I53" s="336">
        <v>1.0</v>
      </c>
      <c r="J53" s="337">
        <v>1.0</v>
      </c>
      <c r="L53" s="52" t="s">
        <v>459</v>
      </c>
      <c r="P53" s="314" t="s">
        <v>485</v>
      </c>
      <c r="Q53" s="52" t="s">
        <v>486</v>
      </c>
    </row>
    <row r="54" ht="15.0" customHeight="1">
      <c r="A54" s="22" t="s">
        <v>112</v>
      </c>
      <c r="B54" s="292">
        <v>1.0</v>
      </c>
      <c r="C54" s="293">
        <v>1.0</v>
      </c>
      <c r="D54" s="294"/>
      <c r="E54" s="333"/>
      <c r="F54" s="334"/>
      <c r="G54" s="296"/>
      <c r="H54" s="335">
        <v>1.0</v>
      </c>
      <c r="I54" s="336"/>
      <c r="J54" s="337"/>
      <c r="L54" s="52" t="s">
        <v>463</v>
      </c>
      <c r="P54" s="124" t="s">
        <v>487</v>
      </c>
      <c r="Q54" s="52" t="s">
        <v>488</v>
      </c>
    </row>
    <row r="55" ht="21.0" customHeight="1">
      <c r="A55" s="22" t="s">
        <v>122</v>
      </c>
      <c r="B55" s="292">
        <v>2.0</v>
      </c>
      <c r="C55" s="293">
        <v>2.0</v>
      </c>
      <c r="D55" s="294"/>
      <c r="E55" s="333">
        <v>2.0</v>
      </c>
      <c r="F55" s="334">
        <v>1.0</v>
      </c>
      <c r="G55" s="296"/>
      <c r="H55" s="335">
        <v>1.0</v>
      </c>
      <c r="I55" s="336"/>
      <c r="J55" s="337"/>
      <c r="L55" s="52" t="s">
        <v>466</v>
      </c>
      <c r="P55" s="124">
        <v>424.0</v>
      </c>
      <c r="Q55" s="52" t="s">
        <v>489</v>
      </c>
    </row>
    <row r="56" ht="21.0" customHeight="1">
      <c r="A56" s="22" t="s">
        <v>323</v>
      </c>
      <c r="B56" s="292">
        <v>1.0</v>
      </c>
      <c r="C56" s="293"/>
      <c r="D56" s="294"/>
      <c r="E56" s="333">
        <v>1.0</v>
      </c>
      <c r="F56" s="341"/>
      <c r="G56" s="296"/>
      <c r="H56" s="335">
        <v>1.0</v>
      </c>
      <c r="I56" s="336"/>
      <c r="J56" s="337"/>
      <c r="L56" s="52" t="s">
        <v>468</v>
      </c>
      <c r="P56" s="124">
        <v>13.0</v>
      </c>
      <c r="Q56" s="52" t="s">
        <v>490</v>
      </c>
    </row>
    <row r="57" ht="15.0" customHeight="1">
      <c r="A57" s="316" t="s">
        <v>3</v>
      </c>
      <c r="B57" s="20"/>
      <c r="C57" s="342">
        <f>+C33+C34+C35+C36+C37+C39+C38+C40+C41+C42+C43+C44+C45+C46+C47+C49+C50+C51+C54+C53+C55</f>
        <v>411</v>
      </c>
      <c r="D57" s="343">
        <f>+D34+D35+D38+D39+D40+D45+D46+D49</f>
        <v>13</v>
      </c>
      <c r="H57" s="282"/>
      <c r="L57" s="52" t="s">
        <v>470</v>
      </c>
      <c r="P57" s="124">
        <v>32.0</v>
      </c>
    </row>
    <row r="58" ht="21.0" customHeight="1">
      <c r="A58" s="317"/>
      <c r="B58" s="33"/>
      <c r="C58" s="318">
        <f>C57+D57</f>
        <v>424</v>
      </c>
      <c r="D58" s="3"/>
      <c r="H58" s="282"/>
    </row>
    <row r="59" ht="21.0" customHeight="1">
      <c r="H59" s="282"/>
    </row>
    <row r="60" ht="21.0" customHeight="1">
      <c r="H60" s="282"/>
    </row>
    <row r="61" ht="21.0" customHeight="1">
      <c r="A61" s="321" t="s">
        <v>491</v>
      </c>
      <c r="B61" s="142"/>
      <c r="C61" s="142"/>
      <c r="D61" s="142"/>
      <c r="E61" s="142"/>
      <c r="F61" s="142"/>
      <c r="G61" s="142"/>
      <c r="H61" s="142"/>
      <c r="I61" s="142"/>
      <c r="J61" s="142"/>
      <c r="K61" s="143"/>
    </row>
    <row r="62" ht="21.0" customHeight="1">
      <c r="H62" s="282"/>
    </row>
    <row r="63" ht="15.0" customHeight="1">
      <c r="A63" s="322" t="s">
        <v>492</v>
      </c>
      <c r="B63" s="284" t="s">
        <v>427</v>
      </c>
      <c r="C63" s="285" t="s">
        <v>428</v>
      </c>
      <c r="D63" s="286" t="s">
        <v>429</v>
      </c>
      <c r="E63" s="108" t="s">
        <v>475</v>
      </c>
      <c r="F63" s="323" t="s">
        <v>430</v>
      </c>
      <c r="G63" s="324" t="s">
        <v>431</v>
      </c>
      <c r="H63" s="288" t="s">
        <v>432</v>
      </c>
      <c r="I63" s="282"/>
      <c r="J63" s="282"/>
      <c r="K63" s="289" t="s">
        <v>433</v>
      </c>
      <c r="L63" s="142"/>
      <c r="M63" s="143"/>
    </row>
    <row r="64" ht="15.0" customHeight="1">
      <c r="A64" s="344" t="s">
        <v>5</v>
      </c>
      <c r="B64" s="292">
        <v>14.0</v>
      </c>
      <c r="C64" s="293">
        <v>21.0</v>
      </c>
      <c r="D64" s="294"/>
      <c r="E64" s="333">
        <v>14.0</v>
      </c>
      <c r="F64" s="334">
        <v>7.0</v>
      </c>
      <c r="G64" s="296">
        <v>4.0</v>
      </c>
      <c r="H64" s="297">
        <v>3.0</v>
      </c>
      <c r="I64" s="282"/>
      <c r="J64" s="282"/>
    </row>
    <row r="65" ht="15.0" customHeight="1">
      <c r="A65" s="22" t="s">
        <v>120</v>
      </c>
      <c r="B65" s="302">
        <v>22.0</v>
      </c>
      <c r="C65" s="293">
        <v>20.0</v>
      </c>
      <c r="D65" s="294">
        <v>1.0</v>
      </c>
      <c r="E65" s="328">
        <v>22.0</v>
      </c>
      <c r="F65" s="334">
        <v>10.0</v>
      </c>
      <c r="G65" s="300">
        <v>5.0</v>
      </c>
      <c r="H65" s="297">
        <v>7.0</v>
      </c>
      <c r="I65" s="345"/>
      <c r="J65" s="345"/>
      <c r="K65" s="52" t="s">
        <v>434</v>
      </c>
      <c r="O65" s="299">
        <v>22.0</v>
      </c>
      <c r="P65" s="52" t="s">
        <v>120</v>
      </c>
    </row>
    <row r="66" ht="15.0" customHeight="1">
      <c r="A66" s="22" t="s">
        <v>18</v>
      </c>
      <c r="B66" s="292">
        <v>20.0</v>
      </c>
      <c r="C66" s="293">
        <v>8.0</v>
      </c>
      <c r="D66" s="294">
        <v>1.0</v>
      </c>
      <c r="E66" s="333">
        <v>4.0</v>
      </c>
      <c r="F66" s="334">
        <v>9.0</v>
      </c>
      <c r="G66" s="296">
        <v>4.0</v>
      </c>
      <c r="H66" s="297">
        <v>7.0</v>
      </c>
      <c r="I66" s="345"/>
      <c r="J66" s="345"/>
      <c r="K66" s="52" t="s">
        <v>436</v>
      </c>
      <c r="O66" s="301">
        <v>24.0</v>
      </c>
      <c r="P66" s="52" t="s">
        <v>11</v>
      </c>
    </row>
    <row r="67" ht="15.0" customHeight="1">
      <c r="A67" s="22" t="s">
        <v>13</v>
      </c>
      <c r="B67" s="292">
        <v>10.0</v>
      </c>
      <c r="C67" s="293">
        <v>7.0</v>
      </c>
      <c r="D67" s="294"/>
      <c r="E67" s="333">
        <v>3.0</v>
      </c>
      <c r="F67" s="334">
        <v>3.0</v>
      </c>
      <c r="G67" s="296">
        <v>3.0</v>
      </c>
      <c r="H67" s="297">
        <v>4.0</v>
      </c>
      <c r="I67" s="345"/>
      <c r="J67" s="345"/>
      <c r="K67" s="52" t="s">
        <v>477</v>
      </c>
      <c r="O67" s="304">
        <v>22.0</v>
      </c>
      <c r="P67" s="52" t="s">
        <v>120</v>
      </c>
    </row>
    <row r="68" ht="15.0" customHeight="1">
      <c r="A68" s="22" t="s">
        <v>7</v>
      </c>
      <c r="B68" s="292">
        <v>21.0</v>
      </c>
      <c r="C68" s="293">
        <v>7.0</v>
      </c>
      <c r="D68" s="294">
        <v>1.0</v>
      </c>
      <c r="E68" s="333">
        <v>11.0</v>
      </c>
      <c r="F68" s="334">
        <v>3.0</v>
      </c>
      <c r="G68" s="300">
        <v>5.0</v>
      </c>
      <c r="H68" s="298">
        <v>13.0</v>
      </c>
      <c r="I68" s="345"/>
      <c r="J68" s="345"/>
      <c r="K68" s="52" t="s">
        <v>438</v>
      </c>
      <c r="O68" s="338">
        <v>11.0</v>
      </c>
      <c r="P68" s="52" t="s">
        <v>17</v>
      </c>
    </row>
    <row r="69" ht="15.0" customHeight="1">
      <c r="A69" s="22" t="s">
        <v>17</v>
      </c>
      <c r="B69" s="292">
        <v>19.0</v>
      </c>
      <c r="C69" s="293">
        <v>11.0</v>
      </c>
      <c r="D69" s="294">
        <v>1.0</v>
      </c>
      <c r="E69" s="333">
        <v>17.0</v>
      </c>
      <c r="F69" s="329">
        <v>11.0</v>
      </c>
      <c r="G69" s="296">
        <v>4.0</v>
      </c>
      <c r="H69" s="297">
        <v>4.0</v>
      </c>
      <c r="I69" s="345"/>
      <c r="J69" s="345"/>
      <c r="K69" s="52" t="s">
        <v>439</v>
      </c>
      <c r="O69" s="305">
        <v>13.0</v>
      </c>
      <c r="P69" s="52" t="s">
        <v>7</v>
      </c>
    </row>
    <row r="70" ht="15.0" customHeight="1">
      <c r="A70" s="22" t="s">
        <v>14</v>
      </c>
      <c r="B70" s="292">
        <v>12.0</v>
      </c>
      <c r="C70" s="293">
        <v>13.0</v>
      </c>
      <c r="D70" s="306"/>
      <c r="E70" s="333">
        <v>14.0</v>
      </c>
      <c r="F70" s="334">
        <v>5.0</v>
      </c>
      <c r="G70" s="296">
        <v>3.0</v>
      </c>
      <c r="H70" s="297">
        <v>4.0</v>
      </c>
      <c r="I70" s="345"/>
      <c r="J70" s="345"/>
      <c r="K70" s="52" t="s">
        <v>440</v>
      </c>
      <c r="O70" s="307">
        <v>5.0</v>
      </c>
      <c r="P70" s="52" t="s">
        <v>493</v>
      </c>
    </row>
    <row r="71" ht="15.0" customHeight="1">
      <c r="A71" s="22" t="s">
        <v>11</v>
      </c>
      <c r="B71" s="292">
        <v>15.0</v>
      </c>
      <c r="C71" s="303">
        <v>24.0</v>
      </c>
      <c r="D71" s="294"/>
      <c r="E71" s="333">
        <v>5.0</v>
      </c>
      <c r="F71" s="334">
        <v>6.0</v>
      </c>
      <c r="G71" s="296">
        <v>4.0</v>
      </c>
      <c r="H71" s="297">
        <v>5.0</v>
      </c>
      <c r="I71" s="345"/>
      <c r="J71" s="345"/>
      <c r="K71" s="52" t="s">
        <v>442</v>
      </c>
      <c r="O71" s="304">
        <v>2.0</v>
      </c>
      <c r="P71" s="52" t="s">
        <v>494</v>
      </c>
    </row>
    <row r="72" ht="15.0" customHeight="1">
      <c r="A72" s="22" t="s">
        <v>6</v>
      </c>
      <c r="B72" s="292">
        <v>5.0</v>
      </c>
      <c r="C72" s="293">
        <v>2.0</v>
      </c>
      <c r="D72" s="294"/>
      <c r="E72" s="333"/>
      <c r="F72" s="334">
        <v>2.0</v>
      </c>
      <c r="G72" s="296">
        <v>1.0</v>
      </c>
      <c r="H72" s="297">
        <v>2.0</v>
      </c>
      <c r="I72" s="345"/>
      <c r="J72" s="345"/>
      <c r="K72" s="52" t="s">
        <v>443</v>
      </c>
      <c r="O72" s="305">
        <v>3.0</v>
      </c>
      <c r="P72" s="52" t="s">
        <v>495</v>
      </c>
    </row>
    <row r="73" ht="15.0" customHeight="1">
      <c r="A73" s="22" t="s">
        <v>4</v>
      </c>
      <c r="B73" s="292">
        <v>9.0</v>
      </c>
      <c r="C73" s="293">
        <v>4.0</v>
      </c>
      <c r="D73" s="294"/>
      <c r="E73" s="333">
        <v>4.0</v>
      </c>
      <c r="F73" s="334">
        <v>3.0</v>
      </c>
      <c r="G73" s="296">
        <v>3.0</v>
      </c>
      <c r="H73" s="297">
        <v>3.0</v>
      </c>
      <c r="I73" s="345"/>
      <c r="J73" s="345"/>
      <c r="K73" s="52" t="s">
        <v>445</v>
      </c>
      <c r="O73" s="124">
        <v>5.0</v>
      </c>
      <c r="P73" s="52" t="s">
        <v>496</v>
      </c>
    </row>
    <row r="74" ht="15.0" customHeight="1">
      <c r="A74" s="22" t="s">
        <v>20</v>
      </c>
      <c r="B74" s="292">
        <v>17.0</v>
      </c>
      <c r="C74" s="293">
        <v>18.0</v>
      </c>
      <c r="D74" s="294"/>
      <c r="E74" s="333">
        <v>7.0</v>
      </c>
      <c r="F74" s="334">
        <v>7.0</v>
      </c>
      <c r="G74" s="296">
        <v>3.0</v>
      </c>
      <c r="H74" s="297">
        <v>7.0</v>
      </c>
      <c r="I74" s="345"/>
      <c r="J74" s="345"/>
      <c r="K74" s="52" t="s">
        <v>447</v>
      </c>
      <c r="O74" s="124">
        <v>10.0</v>
      </c>
      <c r="P74" s="52" t="s">
        <v>497</v>
      </c>
    </row>
    <row r="75" ht="15.0" customHeight="1">
      <c r="A75" s="22" t="s">
        <v>57</v>
      </c>
      <c r="B75" s="292">
        <v>14.0</v>
      </c>
      <c r="C75" s="293">
        <v>23.0</v>
      </c>
      <c r="D75" s="294"/>
      <c r="E75" s="333">
        <v>4.0</v>
      </c>
      <c r="F75" s="334">
        <v>5.0</v>
      </c>
      <c r="G75" s="296">
        <v>4.0</v>
      </c>
      <c r="H75" s="297">
        <v>5.0</v>
      </c>
      <c r="I75" s="345"/>
      <c r="J75" s="345"/>
      <c r="K75" s="52" t="s">
        <v>449</v>
      </c>
      <c r="O75" s="310">
        <v>1.0</v>
      </c>
      <c r="P75" s="52" t="s">
        <v>498</v>
      </c>
    </row>
    <row r="76" ht="15.0" customHeight="1">
      <c r="A76" s="22" t="s">
        <v>452</v>
      </c>
      <c r="B76" s="292">
        <v>6.0</v>
      </c>
      <c r="C76" s="293">
        <v>5.0</v>
      </c>
      <c r="D76" s="294"/>
      <c r="E76" s="333">
        <v>1.0</v>
      </c>
      <c r="F76" s="334">
        <v>3.0</v>
      </c>
      <c r="G76" s="296">
        <v>1.0</v>
      </c>
      <c r="H76" s="297">
        <v>2.0</v>
      </c>
      <c r="I76" s="345"/>
      <c r="J76" s="345"/>
      <c r="K76" s="52" t="s">
        <v>451</v>
      </c>
      <c r="O76" s="311">
        <v>4.0</v>
      </c>
      <c r="P76" s="52" t="s">
        <v>499</v>
      </c>
    </row>
    <row r="77" ht="15.0" customHeight="1">
      <c r="A77" s="22" t="s">
        <v>9</v>
      </c>
      <c r="B77" s="292">
        <v>8.0</v>
      </c>
      <c r="C77" s="293">
        <v>4.0</v>
      </c>
      <c r="D77" s="294"/>
      <c r="E77" s="333">
        <v>10.0</v>
      </c>
      <c r="F77" s="334">
        <v>5.0</v>
      </c>
      <c r="G77" s="296"/>
      <c r="H77" s="297">
        <v>3.0</v>
      </c>
      <c r="I77" s="345"/>
      <c r="J77" s="345"/>
      <c r="K77" s="52" t="s">
        <v>453</v>
      </c>
      <c r="O77" s="301">
        <v>4.0</v>
      </c>
      <c r="P77" s="52" t="s">
        <v>500</v>
      </c>
    </row>
    <row r="78" ht="15.0" customHeight="1">
      <c r="A78" s="22" t="s">
        <v>121</v>
      </c>
      <c r="B78" s="292">
        <v>3.0</v>
      </c>
      <c r="C78" s="293">
        <v>3.0</v>
      </c>
      <c r="D78" s="294"/>
      <c r="E78" s="333">
        <v>3.0</v>
      </c>
      <c r="F78" s="334">
        <v>1.0</v>
      </c>
      <c r="G78" s="296"/>
      <c r="H78" s="297">
        <v>2.0</v>
      </c>
      <c r="I78" s="345"/>
      <c r="J78" s="345"/>
      <c r="O78" s="124"/>
    </row>
    <row r="79" ht="15.0" customHeight="1">
      <c r="A79" s="22" t="s">
        <v>39</v>
      </c>
      <c r="B79" s="292">
        <v>7.0</v>
      </c>
      <c r="C79" s="293">
        <v>10.0</v>
      </c>
      <c r="D79" s="294"/>
      <c r="E79" s="333">
        <v>5.0</v>
      </c>
      <c r="F79" s="334">
        <v>4.0</v>
      </c>
      <c r="G79" s="296">
        <v>1.0</v>
      </c>
      <c r="H79" s="297">
        <v>2.0</v>
      </c>
      <c r="I79" s="345"/>
      <c r="J79" s="345"/>
      <c r="O79" s="135"/>
    </row>
    <row r="80" ht="15.0" customHeight="1">
      <c r="A80" s="22" t="s">
        <v>54</v>
      </c>
      <c r="B80" s="292">
        <v>3.0</v>
      </c>
      <c r="C80" s="293">
        <v>11.0</v>
      </c>
      <c r="D80" s="294"/>
      <c r="E80" s="333">
        <v>3.0</v>
      </c>
      <c r="F80" s="334">
        <v>1.0</v>
      </c>
      <c r="G80" s="296">
        <v>1.0</v>
      </c>
      <c r="H80" s="297">
        <v>1.0</v>
      </c>
      <c r="I80" s="345"/>
      <c r="J80" s="345"/>
    </row>
    <row r="81" ht="15.0" customHeight="1">
      <c r="A81" s="22" t="s">
        <v>55</v>
      </c>
      <c r="B81" s="292">
        <v>6.0</v>
      </c>
      <c r="C81" s="293">
        <v>12.0</v>
      </c>
      <c r="D81" s="294"/>
      <c r="E81" s="333">
        <v>1.0</v>
      </c>
      <c r="F81" s="334"/>
      <c r="G81" s="296">
        <v>2.0</v>
      </c>
      <c r="H81" s="297">
        <v>4.0</v>
      </c>
      <c r="I81" s="345"/>
      <c r="J81" s="345"/>
      <c r="K81" s="312" t="s">
        <v>456</v>
      </c>
      <c r="L81" s="142"/>
      <c r="M81" s="143"/>
    </row>
    <row r="82" ht="15.0" customHeight="1">
      <c r="A82" s="22" t="s">
        <v>166</v>
      </c>
      <c r="B82" s="292">
        <v>4.0</v>
      </c>
      <c r="C82" s="293">
        <v>3.0</v>
      </c>
      <c r="D82" s="294"/>
      <c r="E82" s="333">
        <v>4.0</v>
      </c>
      <c r="F82" s="334">
        <v>2.0</v>
      </c>
      <c r="G82" s="296"/>
      <c r="H82" s="297">
        <v>2.0</v>
      </c>
      <c r="I82" s="345"/>
      <c r="J82" s="345"/>
    </row>
    <row r="83" ht="15.0" customHeight="1">
      <c r="A83" s="22" t="s">
        <v>210</v>
      </c>
      <c r="B83" s="292">
        <v>4.0</v>
      </c>
      <c r="C83" s="293">
        <v>2.0</v>
      </c>
      <c r="D83" s="294"/>
      <c r="E83" s="333"/>
      <c r="F83" s="334"/>
      <c r="G83" s="296"/>
      <c r="H83" s="297">
        <v>4.0</v>
      </c>
      <c r="I83" s="345"/>
      <c r="J83" s="345"/>
      <c r="K83" s="52" t="s">
        <v>457</v>
      </c>
      <c r="O83" s="124">
        <v>59.0</v>
      </c>
      <c r="P83" s="52" t="s">
        <v>501</v>
      </c>
    </row>
    <row r="84" ht="15.0" customHeight="1">
      <c r="A84" s="22" t="s">
        <v>122</v>
      </c>
      <c r="B84" s="292">
        <v>3.0</v>
      </c>
      <c r="C84" s="293">
        <v>3.0</v>
      </c>
      <c r="D84" s="294"/>
      <c r="E84" s="333">
        <v>3.0</v>
      </c>
      <c r="F84" s="334">
        <v>2.0</v>
      </c>
      <c r="G84" s="296"/>
      <c r="H84" s="297">
        <v>1.0</v>
      </c>
      <c r="I84" s="345"/>
      <c r="J84" s="345"/>
      <c r="K84" s="52" t="s">
        <v>459</v>
      </c>
      <c r="O84" s="346" t="s">
        <v>502</v>
      </c>
    </row>
    <row r="85" ht="15.0" customHeight="1">
      <c r="A85" s="22" t="s">
        <v>138</v>
      </c>
      <c r="B85" s="292">
        <v>4.0</v>
      </c>
      <c r="C85" s="293">
        <v>4.0</v>
      </c>
      <c r="D85" s="294">
        <v>1.0</v>
      </c>
      <c r="E85" s="333">
        <v>3.0</v>
      </c>
      <c r="F85" s="334">
        <v>2.0</v>
      </c>
      <c r="G85" s="296">
        <v>1.0</v>
      </c>
      <c r="H85" s="297">
        <v>1.0</v>
      </c>
      <c r="I85" s="345"/>
      <c r="J85" s="345"/>
      <c r="K85" s="52" t="s">
        <v>463</v>
      </c>
      <c r="O85" s="124" t="s">
        <v>503</v>
      </c>
      <c r="P85" s="52" t="s">
        <v>504</v>
      </c>
    </row>
    <row r="86" ht="15.0" customHeight="1">
      <c r="A86" s="22" t="s">
        <v>167</v>
      </c>
      <c r="B86" s="292">
        <v>1.0</v>
      </c>
      <c r="C86" s="293">
        <v>1.0</v>
      </c>
      <c r="D86" s="294"/>
      <c r="E86" s="333">
        <v>2.0</v>
      </c>
      <c r="F86" s="334">
        <v>1.0</v>
      </c>
      <c r="G86" s="296"/>
      <c r="H86" s="297"/>
      <c r="I86" s="345"/>
      <c r="J86" s="345"/>
      <c r="K86" s="52" t="s">
        <v>466</v>
      </c>
      <c r="O86" s="124">
        <v>236.0</v>
      </c>
      <c r="P86" s="52" t="s">
        <v>467</v>
      </c>
    </row>
    <row r="87" ht="15.0" customHeight="1">
      <c r="A87" s="22" t="s">
        <v>183</v>
      </c>
      <c r="B87" s="292">
        <v>2.0</v>
      </c>
      <c r="C87" s="293"/>
      <c r="D87" s="294"/>
      <c r="E87" s="333"/>
      <c r="F87" s="341"/>
      <c r="G87" s="296"/>
      <c r="H87" s="297">
        <v>2.0</v>
      </c>
      <c r="I87" s="345"/>
      <c r="J87" s="345"/>
      <c r="K87" s="52" t="s">
        <v>468</v>
      </c>
      <c r="O87" s="124">
        <v>9.0</v>
      </c>
      <c r="P87" s="52" t="s">
        <v>505</v>
      </c>
    </row>
    <row r="88" ht="15.0" customHeight="1">
      <c r="A88" s="22" t="s">
        <v>462</v>
      </c>
      <c r="B88" s="292">
        <v>2.0</v>
      </c>
      <c r="C88" s="293">
        <v>1.0</v>
      </c>
      <c r="D88" s="294"/>
      <c r="E88" s="333"/>
      <c r="F88" s="341"/>
      <c r="G88" s="296"/>
      <c r="H88" s="297">
        <v>2.0</v>
      </c>
      <c r="I88" s="345"/>
      <c r="J88" s="345"/>
      <c r="K88" s="52" t="s">
        <v>470</v>
      </c>
      <c r="O88" s="124">
        <v>24.0</v>
      </c>
    </row>
    <row r="89" ht="15.0" customHeight="1">
      <c r="A89" s="22" t="s">
        <v>137</v>
      </c>
      <c r="B89" s="292">
        <v>1.0</v>
      </c>
      <c r="C89" s="293"/>
      <c r="D89" s="294"/>
      <c r="E89" s="333">
        <v>1.0</v>
      </c>
      <c r="F89" s="341"/>
      <c r="G89" s="296"/>
      <c r="H89" s="297">
        <v>1.0</v>
      </c>
      <c r="I89" s="345"/>
      <c r="J89" s="345"/>
    </row>
    <row r="90" ht="15.0" customHeight="1">
      <c r="A90" s="22" t="s">
        <v>140</v>
      </c>
      <c r="B90" s="292">
        <v>1.0</v>
      </c>
      <c r="C90" s="293"/>
      <c r="D90" s="294"/>
      <c r="E90" s="333"/>
      <c r="F90" s="341"/>
      <c r="G90" s="296"/>
      <c r="H90" s="297">
        <v>1.0</v>
      </c>
      <c r="I90" s="345"/>
      <c r="J90" s="345"/>
    </row>
    <row r="91" ht="15.0" customHeight="1">
      <c r="A91" s="22" t="s">
        <v>142</v>
      </c>
      <c r="B91" s="292">
        <v>1.0</v>
      </c>
      <c r="C91" s="293">
        <v>3.0</v>
      </c>
      <c r="D91" s="294"/>
      <c r="E91" s="333"/>
      <c r="F91" s="341"/>
      <c r="G91" s="296"/>
      <c r="H91" s="297">
        <v>1.0</v>
      </c>
      <c r="I91" s="345"/>
      <c r="J91" s="345"/>
    </row>
    <row r="92" ht="15.0" customHeight="1">
      <c r="A92" s="22" t="s">
        <v>151</v>
      </c>
      <c r="B92" s="292">
        <v>1.0</v>
      </c>
      <c r="C92" s="293"/>
      <c r="D92" s="294"/>
      <c r="E92" s="333"/>
      <c r="F92" s="341"/>
      <c r="G92" s="296"/>
      <c r="H92" s="297">
        <v>1.0</v>
      </c>
      <c r="I92" s="345"/>
      <c r="J92" s="345"/>
    </row>
    <row r="93" ht="15.0" customHeight="1">
      <c r="A93" s="22" t="s">
        <v>175</v>
      </c>
      <c r="B93" s="292">
        <v>2.0</v>
      </c>
      <c r="C93" s="293">
        <v>1.0</v>
      </c>
      <c r="D93" s="294"/>
      <c r="E93" s="333">
        <v>2.0</v>
      </c>
      <c r="F93" s="341"/>
      <c r="G93" s="296">
        <v>1.0</v>
      </c>
      <c r="H93" s="297">
        <v>1.0</v>
      </c>
      <c r="I93" s="345"/>
      <c r="J93" s="345"/>
    </row>
    <row r="94" ht="15.0" customHeight="1">
      <c r="A94" s="22" t="s">
        <v>186</v>
      </c>
      <c r="B94" s="292">
        <v>2.0</v>
      </c>
      <c r="C94" s="293">
        <v>8.0</v>
      </c>
      <c r="D94" s="294"/>
      <c r="E94" s="333">
        <v>2.0</v>
      </c>
      <c r="F94" s="341">
        <v>2.0</v>
      </c>
      <c r="G94" s="296"/>
      <c r="H94" s="297"/>
      <c r="I94" s="282"/>
      <c r="J94" s="282"/>
    </row>
    <row r="95" ht="15.0" customHeight="1">
      <c r="A95" s="22" t="s">
        <v>187</v>
      </c>
      <c r="B95" s="292">
        <v>1.0</v>
      </c>
      <c r="C95" s="293">
        <v>2.0</v>
      </c>
      <c r="D95" s="294"/>
      <c r="E95" s="333">
        <v>1.0</v>
      </c>
      <c r="F95" s="341">
        <v>1.0</v>
      </c>
      <c r="G95" s="296"/>
      <c r="H95" s="297"/>
      <c r="I95" s="282"/>
      <c r="J95" s="282"/>
    </row>
    <row r="96" ht="15.0" customHeight="1">
      <c r="A96" s="316" t="s">
        <v>3</v>
      </c>
      <c r="B96" s="20"/>
      <c r="C96" s="342">
        <f>C64+C65+C66+C67+C68+C69+C70+C71+C72+C73+C74+C75+C76+C77+C78+C79+C80+C81+C82+C83+C84+C85+C86+C88+C91+C93+C94+C95</f>
        <v>231</v>
      </c>
      <c r="D96" s="343">
        <f>D65+D66+D68+D69+D85</f>
        <v>5</v>
      </c>
      <c r="H96" s="282"/>
    </row>
    <row r="97" ht="15.0" customHeight="1">
      <c r="A97" s="317"/>
      <c r="B97" s="33"/>
      <c r="C97" s="318">
        <f>C96+D96</f>
        <v>236</v>
      </c>
      <c r="D97" s="3"/>
      <c r="H97" s="282"/>
    </row>
    <row r="98" ht="15.0" customHeight="1">
      <c r="A98" s="319"/>
      <c r="B98" s="319"/>
      <c r="H98" s="282"/>
    </row>
    <row r="99" ht="15.0" customHeight="1">
      <c r="H99" s="282"/>
    </row>
    <row r="100" ht="15.0" customHeight="1">
      <c r="H100" s="282"/>
    </row>
    <row r="101" ht="15.0" customHeight="1">
      <c r="A101" s="321" t="s">
        <v>506</v>
      </c>
      <c r="B101" s="142"/>
      <c r="C101" s="142"/>
      <c r="D101" s="142"/>
      <c r="E101" s="142"/>
      <c r="F101" s="142"/>
      <c r="G101" s="142"/>
      <c r="H101" s="142"/>
      <c r="I101" s="142"/>
      <c r="J101" s="142"/>
      <c r="K101" s="143"/>
    </row>
    <row r="102" ht="15.0" customHeight="1">
      <c r="H102" s="282"/>
    </row>
    <row r="103" ht="13.5" customHeight="1">
      <c r="A103" s="322" t="s">
        <v>507</v>
      </c>
      <c r="B103" s="347" t="s">
        <v>427</v>
      </c>
      <c r="C103" s="285" t="s">
        <v>428</v>
      </c>
      <c r="D103" s="286" t="s">
        <v>429</v>
      </c>
      <c r="E103" s="108" t="s">
        <v>475</v>
      </c>
      <c r="F103" s="323" t="s">
        <v>430</v>
      </c>
      <c r="G103" s="324" t="s">
        <v>431</v>
      </c>
      <c r="H103" s="288" t="s">
        <v>432</v>
      </c>
      <c r="I103" s="348"/>
      <c r="J103" s="345"/>
      <c r="K103" s="289" t="s">
        <v>433</v>
      </c>
      <c r="L103" s="142"/>
      <c r="M103" s="143"/>
    </row>
    <row r="104" ht="15.0" customHeight="1">
      <c r="A104" s="22" t="s">
        <v>5</v>
      </c>
      <c r="B104" s="292">
        <v>40.0</v>
      </c>
      <c r="C104" s="349">
        <v>56.0</v>
      </c>
      <c r="D104" s="350">
        <v>2.0</v>
      </c>
      <c r="E104" s="333">
        <v>45.0</v>
      </c>
      <c r="F104" s="334">
        <v>20.0</v>
      </c>
      <c r="G104" s="296">
        <v>7.0</v>
      </c>
      <c r="H104" s="297">
        <v>13.0</v>
      </c>
      <c r="I104" s="345"/>
      <c r="J104" s="345"/>
      <c r="K104" s="345"/>
    </row>
    <row r="105" ht="15.0" customHeight="1">
      <c r="A105" s="22" t="s">
        <v>120</v>
      </c>
      <c r="B105" s="292">
        <v>44.0</v>
      </c>
      <c r="C105" s="351">
        <v>30.0</v>
      </c>
      <c r="D105" s="294">
        <v>1.0</v>
      </c>
      <c r="E105" s="333">
        <v>37.0</v>
      </c>
      <c r="F105" s="334">
        <v>23.0</v>
      </c>
      <c r="G105" s="296">
        <v>8.0</v>
      </c>
      <c r="H105" s="297">
        <v>13.0</v>
      </c>
      <c r="I105" s="345"/>
      <c r="J105" s="345"/>
      <c r="K105" s="52" t="s">
        <v>434</v>
      </c>
      <c r="O105" s="299">
        <v>48.0</v>
      </c>
      <c r="P105" s="52" t="s">
        <v>7</v>
      </c>
    </row>
    <row r="106" ht="15.0" customHeight="1">
      <c r="A106" s="22" t="s">
        <v>18</v>
      </c>
      <c r="B106" s="292">
        <v>45.0</v>
      </c>
      <c r="C106" s="351">
        <v>22.0</v>
      </c>
      <c r="D106" s="350">
        <v>2.0</v>
      </c>
      <c r="E106" s="333">
        <v>14.0</v>
      </c>
      <c r="F106" s="334">
        <v>15.0</v>
      </c>
      <c r="G106" s="296">
        <v>7.0</v>
      </c>
      <c r="H106" s="352">
        <v>23.0</v>
      </c>
      <c r="I106" s="345"/>
      <c r="J106" s="345"/>
      <c r="K106" s="52" t="s">
        <v>436</v>
      </c>
      <c r="O106" s="301">
        <v>56.0</v>
      </c>
      <c r="P106" s="52" t="s">
        <v>5</v>
      </c>
    </row>
    <row r="107" ht="15.0" customHeight="1">
      <c r="A107" s="22" t="s">
        <v>7</v>
      </c>
      <c r="B107" s="353">
        <v>48.0</v>
      </c>
      <c r="C107" s="351">
        <v>38.0</v>
      </c>
      <c r="D107" s="350">
        <v>2.0</v>
      </c>
      <c r="E107" s="354">
        <v>58.0</v>
      </c>
      <c r="F107" s="355">
        <v>24.0</v>
      </c>
      <c r="G107" s="356">
        <v>9.0</v>
      </c>
      <c r="H107" s="297">
        <v>15.0</v>
      </c>
      <c r="I107" s="345"/>
      <c r="J107" s="345"/>
      <c r="K107" s="52" t="s">
        <v>477</v>
      </c>
      <c r="O107" s="304">
        <v>58.0</v>
      </c>
      <c r="P107" s="52" t="s">
        <v>7</v>
      </c>
    </row>
    <row r="108" ht="15.0" customHeight="1">
      <c r="A108" s="22" t="s">
        <v>17</v>
      </c>
      <c r="B108" s="292">
        <v>32.0</v>
      </c>
      <c r="C108" s="351">
        <v>39.0</v>
      </c>
      <c r="D108" s="294"/>
      <c r="E108" s="333">
        <v>22.0</v>
      </c>
      <c r="F108" s="334">
        <v>15.0</v>
      </c>
      <c r="G108" s="296">
        <v>6.0</v>
      </c>
      <c r="H108" s="297">
        <v>11.0</v>
      </c>
      <c r="I108" s="345"/>
      <c r="J108" s="345"/>
      <c r="K108" s="52" t="s">
        <v>438</v>
      </c>
      <c r="O108" s="338">
        <v>24.0</v>
      </c>
      <c r="P108" s="52" t="s">
        <v>7</v>
      </c>
    </row>
    <row r="109" ht="15.0" customHeight="1">
      <c r="A109" s="22" t="s">
        <v>13</v>
      </c>
      <c r="B109" s="292">
        <v>22.0</v>
      </c>
      <c r="C109" s="351">
        <v>24.0</v>
      </c>
      <c r="D109" s="294"/>
      <c r="E109" s="333">
        <v>20.0</v>
      </c>
      <c r="F109" s="334">
        <v>4.0</v>
      </c>
      <c r="G109" s="296">
        <v>3.0</v>
      </c>
      <c r="H109" s="297">
        <v>15.0</v>
      </c>
      <c r="I109" s="345"/>
      <c r="J109" s="345"/>
      <c r="K109" s="52" t="s">
        <v>439</v>
      </c>
      <c r="O109" s="305">
        <v>23.0</v>
      </c>
      <c r="P109" s="52" t="s">
        <v>18</v>
      </c>
    </row>
    <row r="110" ht="15.0" customHeight="1">
      <c r="A110" s="22" t="s">
        <v>20</v>
      </c>
      <c r="B110" s="292">
        <v>28.0</v>
      </c>
      <c r="C110" s="351">
        <v>24.0</v>
      </c>
      <c r="D110" s="294">
        <v>1.0</v>
      </c>
      <c r="E110" s="333">
        <v>19.0</v>
      </c>
      <c r="F110" s="334">
        <v>15.0</v>
      </c>
      <c r="G110" s="296">
        <v>6.0</v>
      </c>
      <c r="H110" s="297">
        <v>7.0</v>
      </c>
      <c r="I110" s="345"/>
      <c r="J110" s="345"/>
      <c r="K110" s="52" t="s">
        <v>440</v>
      </c>
      <c r="O110" s="307">
        <v>9.0</v>
      </c>
      <c r="P110" s="52" t="s">
        <v>7</v>
      </c>
    </row>
    <row r="111" ht="15.0" customHeight="1">
      <c r="A111" s="22" t="s">
        <v>166</v>
      </c>
      <c r="B111" s="292">
        <v>37.0</v>
      </c>
      <c r="C111" s="351">
        <v>40.0</v>
      </c>
      <c r="D111" s="294">
        <v>1.0</v>
      </c>
      <c r="E111" s="333">
        <v>16.0</v>
      </c>
      <c r="F111" s="334">
        <v>9.0</v>
      </c>
      <c r="G111" s="296">
        <v>7.0</v>
      </c>
      <c r="H111" s="297">
        <v>21.0</v>
      </c>
      <c r="I111" s="345"/>
      <c r="J111" s="345"/>
      <c r="K111" s="52" t="s">
        <v>442</v>
      </c>
      <c r="O111" s="304">
        <v>1.0</v>
      </c>
      <c r="P111" s="52" t="s">
        <v>508</v>
      </c>
    </row>
    <row r="112" ht="15.0" customHeight="1">
      <c r="A112" s="22" t="s">
        <v>225</v>
      </c>
      <c r="B112" s="292">
        <v>34.0</v>
      </c>
      <c r="C112" s="351">
        <v>52.0</v>
      </c>
      <c r="D112" s="350">
        <v>2.0</v>
      </c>
      <c r="E112" s="333">
        <v>15.0</v>
      </c>
      <c r="F112" s="334">
        <v>10.0</v>
      </c>
      <c r="G112" s="296">
        <v>5.0</v>
      </c>
      <c r="H112" s="297">
        <v>19.0</v>
      </c>
      <c r="I112" s="345"/>
      <c r="J112" s="345"/>
      <c r="K112" s="52" t="s">
        <v>443</v>
      </c>
      <c r="O112" s="305">
        <v>2.0</v>
      </c>
      <c r="P112" s="52" t="s">
        <v>509</v>
      </c>
    </row>
    <row r="113" ht="15.0" customHeight="1">
      <c r="A113" s="22" t="s">
        <v>4</v>
      </c>
      <c r="B113" s="292">
        <v>29.0</v>
      </c>
      <c r="C113" s="351">
        <v>48.0</v>
      </c>
      <c r="D113" s="294"/>
      <c r="E113" s="333">
        <v>23.0</v>
      </c>
      <c r="F113" s="334">
        <v>12.0</v>
      </c>
      <c r="G113" s="296">
        <v>5.0</v>
      </c>
      <c r="H113" s="297">
        <v>12.0</v>
      </c>
      <c r="I113" s="345"/>
      <c r="J113" s="345"/>
      <c r="K113" s="52" t="s">
        <v>445</v>
      </c>
      <c r="O113" s="124">
        <v>6.0</v>
      </c>
      <c r="P113" s="52" t="s">
        <v>510</v>
      </c>
    </row>
    <row r="114" ht="15.0" customHeight="1">
      <c r="A114" s="22" t="s">
        <v>6</v>
      </c>
      <c r="B114" s="292">
        <v>11.0</v>
      </c>
      <c r="C114" s="351">
        <v>10.0</v>
      </c>
      <c r="D114" s="350">
        <v>2.0</v>
      </c>
      <c r="E114" s="333">
        <v>2.0</v>
      </c>
      <c r="F114" s="334">
        <v>5.0</v>
      </c>
      <c r="G114" s="296">
        <v>2.0</v>
      </c>
      <c r="H114" s="297">
        <v>4.0</v>
      </c>
      <c r="I114" s="345"/>
      <c r="J114" s="345"/>
      <c r="K114" s="52" t="s">
        <v>447</v>
      </c>
      <c r="O114" s="124">
        <v>17.0</v>
      </c>
      <c r="P114" s="52" t="s">
        <v>511</v>
      </c>
    </row>
    <row r="115" ht="15.0" customHeight="1">
      <c r="A115" s="22" t="s">
        <v>175</v>
      </c>
      <c r="B115" s="292">
        <v>13.0</v>
      </c>
      <c r="C115" s="351">
        <v>11.0</v>
      </c>
      <c r="D115" s="294"/>
      <c r="E115" s="333">
        <v>7.0</v>
      </c>
      <c r="F115" s="334">
        <v>5.0</v>
      </c>
      <c r="G115" s="296">
        <v>2.0</v>
      </c>
      <c r="H115" s="297">
        <v>6.0</v>
      </c>
      <c r="I115" s="345"/>
      <c r="J115" s="345"/>
      <c r="K115" s="52" t="s">
        <v>449</v>
      </c>
      <c r="O115" s="310">
        <v>2.0</v>
      </c>
      <c r="P115" s="52" t="s">
        <v>512</v>
      </c>
    </row>
    <row r="116" ht="15.0" customHeight="1">
      <c r="A116" s="22" t="s">
        <v>9</v>
      </c>
      <c r="B116" s="292">
        <v>6.0</v>
      </c>
      <c r="C116" s="351">
        <v>5.0</v>
      </c>
      <c r="D116" s="294"/>
      <c r="E116" s="333">
        <v>1.0</v>
      </c>
      <c r="F116" s="334">
        <v>2.0</v>
      </c>
      <c r="G116" s="296">
        <v>0.0</v>
      </c>
      <c r="H116" s="297">
        <v>4.0</v>
      </c>
      <c r="I116" s="345"/>
      <c r="J116" s="345"/>
      <c r="K116" s="52" t="s">
        <v>451</v>
      </c>
      <c r="O116" s="311">
        <v>5.0</v>
      </c>
      <c r="P116" s="187" t="s">
        <v>513</v>
      </c>
    </row>
    <row r="117" ht="15.0" customHeight="1">
      <c r="A117" s="22" t="s">
        <v>186</v>
      </c>
      <c r="B117" s="292">
        <v>7.0</v>
      </c>
      <c r="C117" s="351">
        <v>28.0</v>
      </c>
      <c r="D117" s="294"/>
      <c r="E117" s="333">
        <v>12.0</v>
      </c>
      <c r="F117" s="334">
        <v>3.0</v>
      </c>
      <c r="G117" s="296">
        <v>2.0</v>
      </c>
      <c r="H117" s="297">
        <v>2.0</v>
      </c>
      <c r="I117" s="345"/>
      <c r="J117" s="345"/>
      <c r="K117" s="52" t="s">
        <v>453</v>
      </c>
      <c r="O117" s="301">
        <v>8.0</v>
      </c>
      <c r="P117" s="23" t="s">
        <v>278</v>
      </c>
    </row>
    <row r="118" ht="15.0" customHeight="1">
      <c r="A118" s="22" t="s">
        <v>11</v>
      </c>
      <c r="B118" s="292">
        <v>16.0</v>
      </c>
      <c r="C118" s="351">
        <v>15.0</v>
      </c>
      <c r="D118" s="294">
        <v>1.0</v>
      </c>
      <c r="E118" s="333">
        <v>9.0</v>
      </c>
      <c r="F118" s="334">
        <v>7.0</v>
      </c>
      <c r="G118" s="296">
        <v>1.0</v>
      </c>
      <c r="H118" s="297">
        <v>8.0</v>
      </c>
      <c r="I118" s="345"/>
      <c r="J118" s="345"/>
      <c r="K118" s="345"/>
    </row>
    <row r="119" ht="15.0" customHeight="1">
      <c r="A119" s="22" t="s">
        <v>14</v>
      </c>
      <c r="B119" s="292">
        <v>17.0</v>
      </c>
      <c r="C119" s="351">
        <v>34.0</v>
      </c>
      <c r="D119" s="294"/>
      <c r="E119" s="333">
        <v>22.0</v>
      </c>
      <c r="F119" s="334">
        <v>9.0</v>
      </c>
      <c r="G119" s="296">
        <v>4.0</v>
      </c>
      <c r="H119" s="297">
        <v>4.0</v>
      </c>
      <c r="I119" s="345"/>
      <c r="J119" s="345"/>
      <c r="K119" s="345"/>
    </row>
    <row r="120" ht="15.0" customHeight="1">
      <c r="A120" s="22" t="s">
        <v>57</v>
      </c>
      <c r="B120" s="292">
        <v>12.0</v>
      </c>
      <c r="C120" s="351">
        <v>9.0</v>
      </c>
      <c r="D120" s="294"/>
      <c r="E120" s="333">
        <v>2.0</v>
      </c>
      <c r="F120" s="334">
        <v>4.0</v>
      </c>
      <c r="G120" s="296">
        <v>3.0</v>
      </c>
      <c r="H120" s="297">
        <v>5.0</v>
      </c>
      <c r="I120" s="345"/>
      <c r="J120" s="345"/>
    </row>
    <row r="121" ht="15.0" customHeight="1">
      <c r="A121" s="22" t="s">
        <v>39</v>
      </c>
      <c r="B121" s="292">
        <v>9.0</v>
      </c>
      <c r="C121" s="351">
        <v>12.0</v>
      </c>
      <c r="D121" s="294"/>
      <c r="E121" s="333">
        <v>5.0</v>
      </c>
      <c r="F121" s="334">
        <v>2.0</v>
      </c>
      <c r="G121" s="296">
        <v>2.0</v>
      </c>
      <c r="H121" s="297">
        <v>5.0</v>
      </c>
      <c r="I121" s="345"/>
      <c r="J121" s="345"/>
      <c r="K121" s="312" t="s">
        <v>456</v>
      </c>
      <c r="L121" s="142"/>
      <c r="M121" s="143"/>
    </row>
    <row r="122" ht="15.0" customHeight="1">
      <c r="A122" s="22" t="s">
        <v>138</v>
      </c>
      <c r="B122" s="292">
        <v>10.0</v>
      </c>
      <c r="C122" s="351">
        <v>4.0</v>
      </c>
      <c r="D122" s="294"/>
      <c r="E122" s="333">
        <v>8.0</v>
      </c>
      <c r="F122" s="334">
        <v>2.0</v>
      </c>
      <c r="G122" s="296">
        <v>1.0</v>
      </c>
      <c r="H122" s="297">
        <v>7.0</v>
      </c>
      <c r="I122" s="345"/>
      <c r="J122" s="345"/>
    </row>
    <row r="123" ht="15.0" customHeight="1">
      <c r="A123" s="22" t="s">
        <v>211</v>
      </c>
      <c r="B123" s="292">
        <v>7.0</v>
      </c>
      <c r="C123" s="351">
        <v>16.0</v>
      </c>
      <c r="D123" s="294"/>
      <c r="E123" s="333">
        <v>9.0</v>
      </c>
      <c r="F123" s="334">
        <v>5.0</v>
      </c>
      <c r="G123" s="296">
        <v>1.0</v>
      </c>
      <c r="H123" s="297">
        <v>1.0</v>
      </c>
      <c r="I123" s="345"/>
      <c r="K123" s="52" t="s">
        <v>457</v>
      </c>
      <c r="O123" s="124">
        <v>71.0</v>
      </c>
      <c r="P123" s="52" t="s">
        <v>514</v>
      </c>
    </row>
    <row r="124" ht="15.0" customHeight="1">
      <c r="A124" s="22" t="s">
        <v>212</v>
      </c>
      <c r="B124" s="292">
        <v>6.0</v>
      </c>
      <c r="C124" s="351">
        <v>8.0</v>
      </c>
      <c r="D124" s="294">
        <v>1.0</v>
      </c>
      <c r="E124" s="333">
        <v>6.0</v>
      </c>
      <c r="F124" s="334">
        <v>2.0</v>
      </c>
      <c r="G124" s="296">
        <v>2.0</v>
      </c>
      <c r="H124" s="297">
        <v>6.0</v>
      </c>
      <c r="I124" s="345"/>
      <c r="K124" s="52" t="s">
        <v>459</v>
      </c>
      <c r="O124" s="124">
        <v>22.0</v>
      </c>
      <c r="P124" s="22" t="s">
        <v>515</v>
      </c>
      <c r="Q124" s="52" t="s">
        <v>516</v>
      </c>
    </row>
    <row r="125" ht="21.0" customHeight="1">
      <c r="A125" s="22" t="s">
        <v>210</v>
      </c>
      <c r="B125" s="357">
        <v>5.0</v>
      </c>
      <c r="C125" s="358">
        <v>5.0</v>
      </c>
      <c r="D125" s="359"/>
      <c r="E125" s="360"/>
      <c r="F125" s="361">
        <v>3.0</v>
      </c>
      <c r="G125" s="362">
        <v>1.0</v>
      </c>
      <c r="H125" s="363">
        <v>1.0</v>
      </c>
      <c r="I125" s="345"/>
      <c r="K125" s="52" t="s">
        <v>463</v>
      </c>
      <c r="O125" s="124">
        <v>6.0</v>
      </c>
      <c r="P125" s="52" t="s">
        <v>517</v>
      </c>
    </row>
    <row r="126" ht="21.0" customHeight="1">
      <c r="A126" s="22" t="s">
        <v>207</v>
      </c>
      <c r="B126" s="364">
        <v>4.0</v>
      </c>
      <c r="C126" s="365">
        <v>6.0</v>
      </c>
      <c r="D126" s="366"/>
      <c r="E126" s="367">
        <v>3.0</v>
      </c>
      <c r="F126" s="368">
        <v>3.0</v>
      </c>
      <c r="G126" s="369">
        <v>0.0</v>
      </c>
      <c r="H126" s="370">
        <v>1.0</v>
      </c>
      <c r="I126" s="345"/>
      <c r="K126" s="52" t="s">
        <v>466</v>
      </c>
      <c r="O126" s="124">
        <v>571.0</v>
      </c>
      <c r="P126" s="52" t="s">
        <v>518</v>
      </c>
    </row>
    <row r="127" ht="21.0" customHeight="1">
      <c r="A127" s="22" t="s">
        <v>54</v>
      </c>
      <c r="B127" s="292">
        <v>3.0</v>
      </c>
      <c r="C127" s="351">
        <v>6.0</v>
      </c>
      <c r="D127" s="294"/>
      <c r="E127" s="333">
        <v>1.0</v>
      </c>
      <c r="F127" s="334">
        <v>1.0</v>
      </c>
      <c r="G127" s="296">
        <v>2.0</v>
      </c>
      <c r="H127" s="297">
        <v>0.0</v>
      </c>
      <c r="I127" s="345"/>
      <c r="K127" s="52" t="s">
        <v>468</v>
      </c>
      <c r="O127" s="124">
        <v>11.0</v>
      </c>
      <c r="P127" s="52" t="s">
        <v>519</v>
      </c>
    </row>
    <row r="128" ht="21.0" customHeight="1">
      <c r="A128" s="22" t="s">
        <v>227</v>
      </c>
      <c r="B128" s="292">
        <v>3.0</v>
      </c>
      <c r="C128" s="351">
        <v>6.0</v>
      </c>
      <c r="D128" s="294"/>
      <c r="E128" s="333">
        <v>2.0</v>
      </c>
      <c r="F128" s="334">
        <v>1.0</v>
      </c>
      <c r="G128" s="296">
        <v>1.0</v>
      </c>
      <c r="H128" s="297">
        <v>1.0</v>
      </c>
      <c r="I128" s="345"/>
      <c r="K128" s="52" t="s">
        <v>470</v>
      </c>
      <c r="O128" s="124">
        <v>50.0</v>
      </c>
    </row>
    <row r="129" ht="21.0" customHeight="1">
      <c r="A129" s="22" t="s">
        <v>239</v>
      </c>
      <c r="B129" s="292">
        <v>2.0</v>
      </c>
      <c r="C129" s="351"/>
      <c r="D129" s="294"/>
      <c r="E129" s="333">
        <v>1.0</v>
      </c>
      <c r="F129" s="334">
        <v>0.0</v>
      </c>
      <c r="G129" s="296">
        <v>1.0</v>
      </c>
      <c r="H129" s="297">
        <v>1.0</v>
      </c>
      <c r="I129" s="345"/>
    </row>
    <row r="130" ht="21.0" customHeight="1">
      <c r="A130" s="22" t="s">
        <v>187</v>
      </c>
      <c r="B130" s="292">
        <v>1.0</v>
      </c>
      <c r="C130" s="351"/>
      <c r="D130" s="294"/>
      <c r="E130" s="333">
        <v>1.0</v>
      </c>
      <c r="F130" s="334">
        <v>0.0</v>
      </c>
      <c r="G130" s="296">
        <v>0.0</v>
      </c>
      <c r="H130" s="297">
        <v>1.0</v>
      </c>
      <c r="I130" s="345"/>
    </row>
    <row r="131" ht="21.0" customHeight="1">
      <c r="A131" s="22" t="s">
        <v>520</v>
      </c>
      <c r="B131" s="292">
        <v>1.0</v>
      </c>
      <c r="C131" s="351"/>
      <c r="D131" s="294"/>
      <c r="E131" s="333"/>
      <c r="F131" s="334">
        <v>0.0</v>
      </c>
      <c r="G131" s="296">
        <v>1.0</v>
      </c>
      <c r="H131" s="297">
        <v>0.0</v>
      </c>
      <c r="I131" s="345"/>
    </row>
    <row r="132" ht="21.0" customHeight="1">
      <c r="A132" s="22" t="s">
        <v>521</v>
      </c>
      <c r="B132" s="292">
        <v>1.0</v>
      </c>
      <c r="C132" s="351"/>
      <c r="D132" s="294"/>
      <c r="E132" s="333"/>
      <c r="F132" s="334">
        <v>0.0</v>
      </c>
      <c r="G132" s="296">
        <v>1.0</v>
      </c>
      <c r="H132" s="297">
        <v>0.0</v>
      </c>
      <c r="I132" s="345"/>
    </row>
    <row r="133" ht="21.0" customHeight="1">
      <c r="A133" s="22" t="s">
        <v>522</v>
      </c>
      <c r="B133" s="292">
        <v>2.0</v>
      </c>
      <c r="C133" s="351">
        <v>2.0</v>
      </c>
      <c r="D133" s="294"/>
      <c r="E133" s="333">
        <v>1.0</v>
      </c>
      <c r="F133" s="341">
        <v>2.0</v>
      </c>
      <c r="G133" s="296">
        <v>0.0</v>
      </c>
      <c r="H133" s="297">
        <v>0.0</v>
      </c>
      <c r="I133" s="345"/>
    </row>
    <row r="134" ht="21.0" customHeight="1">
      <c r="A134" s="22" t="s">
        <v>252</v>
      </c>
      <c r="B134" s="292">
        <v>1.0</v>
      </c>
      <c r="C134" s="351">
        <v>1.0</v>
      </c>
      <c r="D134" s="294"/>
      <c r="E134" s="333"/>
      <c r="F134" s="341">
        <v>1.0</v>
      </c>
      <c r="G134" s="296">
        <v>0.0</v>
      </c>
      <c r="H134" s="297">
        <v>0.0</v>
      </c>
      <c r="I134" s="345"/>
    </row>
    <row r="135" ht="21.0" customHeight="1">
      <c r="A135" s="22" t="s">
        <v>259</v>
      </c>
      <c r="B135" s="292">
        <v>1.0</v>
      </c>
      <c r="C135" s="351"/>
      <c r="D135" s="294"/>
      <c r="E135" s="333">
        <v>1.0</v>
      </c>
      <c r="F135" s="341">
        <v>0.0</v>
      </c>
      <c r="G135" s="296">
        <v>0.0</v>
      </c>
      <c r="H135" s="297">
        <v>1.0</v>
      </c>
      <c r="I135" s="345"/>
    </row>
    <row r="136" ht="21.0" customHeight="1">
      <c r="A136" s="22" t="s">
        <v>523</v>
      </c>
      <c r="B136" s="292">
        <v>1.0</v>
      </c>
      <c r="C136" s="351">
        <v>1.0</v>
      </c>
      <c r="D136" s="294"/>
      <c r="E136" s="333"/>
      <c r="F136" s="341">
        <v>1.0</v>
      </c>
      <c r="G136" s="296">
        <v>0.0</v>
      </c>
      <c r="H136" s="297">
        <v>0.0</v>
      </c>
      <c r="I136" s="345"/>
    </row>
    <row r="137" ht="21.0" customHeight="1">
      <c r="A137" s="22" t="s">
        <v>271</v>
      </c>
      <c r="B137" s="292">
        <v>1.0</v>
      </c>
      <c r="C137" s="351">
        <v>2.0</v>
      </c>
      <c r="D137" s="294"/>
      <c r="E137" s="333">
        <v>1.0</v>
      </c>
      <c r="F137" s="341">
        <v>0.0</v>
      </c>
      <c r="G137" s="296">
        <v>0.0</v>
      </c>
      <c r="H137" s="297">
        <v>1.0</v>
      </c>
      <c r="I137" s="345"/>
    </row>
    <row r="138" ht="21.0" customHeight="1">
      <c r="A138" s="22" t="s">
        <v>263</v>
      </c>
      <c r="B138" s="292">
        <v>1.0</v>
      </c>
      <c r="C138" s="351">
        <v>1.0</v>
      </c>
      <c r="D138" s="294"/>
      <c r="E138" s="333"/>
      <c r="F138" s="341">
        <v>0.0</v>
      </c>
      <c r="G138" s="296">
        <v>0.0</v>
      </c>
      <c r="H138" s="297">
        <v>1.0</v>
      </c>
      <c r="I138" s="345"/>
    </row>
    <row r="139" ht="21.0" customHeight="1">
      <c r="A139" s="22" t="s">
        <v>524</v>
      </c>
      <c r="B139" s="292"/>
      <c r="C139" s="351"/>
      <c r="D139" s="294">
        <v>1.0</v>
      </c>
      <c r="E139" s="371"/>
      <c r="F139" s="341"/>
      <c r="G139" s="296"/>
      <c r="H139" s="297"/>
    </row>
    <row r="140" ht="21.0" customHeight="1">
      <c r="A140" s="316" t="s">
        <v>3</v>
      </c>
      <c r="B140" s="20"/>
      <c r="C140" s="372">
        <f>C104+C105+C106+C107+C108+C109+C110+C111+C112+C113+C114+C115+C116+C117+C118+C119+C120+C121+C122+C123+C124+C125+C126+C127+C128+C133+C134+C136+C137+C138</f>
        <v>555</v>
      </c>
      <c r="D140" s="373">
        <f>D104+D105+D106+D107+D110+D111+D112+D115+D114+D118+D124+D139</f>
        <v>16</v>
      </c>
      <c r="E140" s="374">
        <f>E104+E105+E106+E107+E108+E109+E110+E111+E112+E113+E114+E115+E116+E117+E118+E119+E120+E121+E122+E123+E124+E126+E127+E128+E129+E130+E133+E135+E137</f>
        <v>363</v>
      </c>
      <c r="H140" s="282"/>
    </row>
    <row r="141" ht="21.0" customHeight="1">
      <c r="A141" s="317"/>
      <c r="B141" s="33"/>
      <c r="C141" s="318">
        <f>C140+D140</f>
        <v>571</v>
      </c>
      <c r="D141" s="3"/>
      <c r="F141" s="146"/>
      <c r="H141" s="282"/>
    </row>
    <row r="142" ht="15.0" customHeight="1">
      <c r="H142" s="282"/>
    </row>
    <row r="143" ht="15.0" customHeight="1">
      <c r="H143" s="282"/>
    </row>
    <row r="144" ht="15.0" customHeight="1">
      <c r="H144" s="282"/>
    </row>
    <row r="145" ht="15.0" customHeight="1">
      <c r="A145" s="321" t="s">
        <v>525</v>
      </c>
      <c r="B145" s="142"/>
      <c r="C145" s="142"/>
      <c r="D145" s="142"/>
      <c r="E145" s="142"/>
      <c r="F145" s="142"/>
      <c r="G145" s="142"/>
      <c r="H145" s="142"/>
      <c r="I145" s="142"/>
      <c r="J145" s="142"/>
      <c r="K145" s="143"/>
    </row>
    <row r="146" ht="21.0" customHeight="1">
      <c r="H146" s="282"/>
    </row>
    <row r="147" ht="21.0" customHeight="1">
      <c r="A147" s="322" t="s">
        <v>526</v>
      </c>
      <c r="B147" s="347" t="s">
        <v>427</v>
      </c>
      <c r="C147" s="285" t="s">
        <v>428</v>
      </c>
      <c r="D147" s="286" t="s">
        <v>429</v>
      </c>
      <c r="E147" s="108" t="s">
        <v>475</v>
      </c>
      <c r="F147" s="375" t="s">
        <v>430</v>
      </c>
      <c r="G147" s="324" t="s">
        <v>431</v>
      </c>
      <c r="H147" s="288" t="s">
        <v>432</v>
      </c>
      <c r="I147" s="348"/>
      <c r="J147" s="345"/>
      <c r="K147" s="289" t="s">
        <v>433</v>
      </c>
      <c r="L147" s="142"/>
      <c r="M147" s="143"/>
    </row>
    <row r="148" ht="15.0" customHeight="1">
      <c r="A148" s="22" t="s">
        <v>5</v>
      </c>
      <c r="B148" s="292">
        <v>35.0</v>
      </c>
      <c r="C148" s="351">
        <v>42.0</v>
      </c>
      <c r="D148" s="350">
        <v>3.0</v>
      </c>
      <c r="E148" s="376">
        <v>33.0</v>
      </c>
      <c r="F148" s="334">
        <v>17.0</v>
      </c>
      <c r="G148" s="296">
        <v>9.0</v>
      </c>
      <c r="H148" s="297">
        <v>9.0</v>
      </c>
    </row>
    <row r="149" ht="13.5" customHeight="1">
      <c r="A149" s="22" t="s">
        <v>120</v>
      </c>
      <c r="B149" s="292">
        <v>44.0</v>
      </c>
      <c r="C149" s="351">
        <v>22.0</v>
      </c>
      <c r="D149" s="294"/>
      <c r="E149" s="376">
        <v>35.0</v>
      </c>
      <c r="F149" s="334">
        <v>17.0</v>
      </c>
      <c r="G149" s="296">
        <v>10.0</v>
      </c>
      <c r="H149" s="297">
        <v>17.0</v>
      </c>
      <c r="K149" s="52" t="s">
        <v>434</v>
      </c>
      <c r="O149" s="299">
        <v>46.0</v>
      </c>
      <c r="P149" s="52" t="s">
        <v>7</v>
      </c>
    </row>
    <row r="150" ht="15.0" customHeight="1">
      <c r="A150" s="22" t="s">
        <v>18</v>
      </c>
      <c r="B150" s="292">
        <v>41.0</v>
      </c>
      <c r="C150" s="351">
        <v>14.0</v>
      </c>
      <c r="D150" s="350">
        <v>3.0</v>
      </c>
      <c r="E150" s="376">
        <v>6.0</v>
      </c>
      <c r="F150" s="334">
        <v>12.0</v>
      </c>
      <c r="G150" s="296">
        <v>9.0</v>
      </c>
      <c r="H150" s="352">
        <v>20.0</v>
      </c>
      <c r="K150" s="52" t="s">
        <v>436</v>
      </c>
      <c r="O150" s="301">
        <v>80.0</v>
      </c>
      <c r="P150" s="22" t="s">
        <v>278</v>
      </c>
    </row>
    <row r="151" ht="15.0" customHeight="1">
      <c r="A151" s="22" t="s">
        <v>7</v>
      </c>
      <c r="B151" s="353">
        <v>46.0</v>
      </c>
      <c r="C151" s="351">
        <v>45.0</v>
      </c>
      <c r="D151" s="294">
        <v>1.0</v>
      </c>
      <c r="E151" s="377">
        <v>55.0</v>
      </c>
      <c r="F151" s="334">
        <v>21.0</v>
      </c>
      <c r="G151" s="356">
        <v>11.0</v>
      </c>
      <c r="H151" s="297">
        <v>14.0</v>
      </c>
      <c r="K151" s="52" t="s">
        <v>477</v>
      </c>
      <c r="O151" s="304">
        <v>55.0</v>
      </c>
      <c r="P151" s="52" t="s">
        <v>7</v>
      </c>
    </row>
    <row r="152" ht="15.0" customHeight="1">
      <c r="A152" s="22" t="s">
        <v>17</v>
      </c>
      <c r="B152" s="292">
        <v>30.0</v>
      </c>
      <c r="C152" s="351">
        <v>17.0</v>
      </c>
      <c r="D152" s="294"/>
      <c r="E152" s="376">
        <v>11.0</v>
      </c>
      <c r="F152" s="334">
        <v>8.0</v>
      </c>
      <c r="G152" s="296">
        <v>7.0</v>
      </c>
      <c r="H152" s="297">
        <v>15.0</v>
      </c>
      <c r="K152" s="52" t="s">
        <v>438</v>
      </c>
      <c r="O152" s="338">
        <v>23.0</v>
      </c>
      <c r="P152" s="22" t="s">
        <v>278</v>
      </c>
    </row>
    <row r="153" ht="15.0" customHeight="1">
      <c r="A153" s="22" t="s">
        <v>296</v>
      </c>
      <c r="B153" s="292">
        <v>37.0</v>
      </c>
      <c r="C153" s="351">
        <v>22.0</v>
      </c>
      <c r="D153" s="294"/>
      <c r="E153" s="376">
        <v>26.0</v>
      </c>
      <c r="F153" s="334">
        <v>9.0</v>
      </c>
      <c r="G153" s="356">
        <v>11.0</v>
      </c>
      <c r="H153" s="297">
        <v>17.0</v>
      </c>
      <c r="K153" s="52" t="s">
        <v>439</v>
      </c>
      <c r="O153" s="305">
        <v>20.0</v>
      </c>
      <c r="P153" s="22" t="s">
        <v>18</v>
      </c>
    </row>
    <row r="154" ht="15.0" customHeight="1">
      <c r="A154" s="22" t="s">
        <v>20</v>
      </c>
      <c r="B154" s="292">
        <v>36.0</v>
      </c>
      <c r="C154" s="351">
        <v>31.0</v>
      </c>
      <c r="D154" s="294">
        <v>1.0</v>
      </c>
      <c r="E154" s="376">
        <v>23.0</v>
      </c>
      <c r="F154" s="334">
        <v>20.0</v>
      </c>
      <c r="G154" s="296">
        <v>5.0</v>
      </c>
      <c r="H154" s="297">
        <v>11.0</v>
      </c>
      <c r="K154" s="52" t="s">
        <v>440</v>
      </c>
      <c r="O154" s="307">
        <v>11.0</v>
      </c>
      <c r="P154" s="52" t="s">
        <v>527</v>
      </c>
    </row>
    <row r="155" ht="15.0" customHeight="1">
      <c r="A155" s="22" t="s">
        <v>166</v>
      </c>
      <c r="B155" s="292">
        <v>34.0</v>
      </c>
      <c r="C155" s="351">
        <v>27.0</v>
      </c>
      <c r="D155" s="294"/>
      <c r="E155" s="376">
        <v>25.0</v>
      </c>
      <c r="F155" s="334">
        <v>10.0</v>
      </c>
      <c r="G155" s="296">
        <v>7.0</v>
      </c>
      <c r="H155" s="297">
        <v>17.0</v>
      </c>
      <c r="K155" s="52" t="s">
        <v>442</v>
      </c>
      <c r="O155" s="304">
        <v>1.0</v>
      </c>
      <c r="P155" s="22" t="s">
        <v>175</v>
      </c>
    </row>
    <row r="156" ht="15.0" customHeight="1">
      <c r="A156" s="22" t="s">
        <v>278</v>
      </c>
      <c r="B156" s="292">
        <v>43.0</v>
      </c>
      <c r="C156" s="349">
        <v>80.0</v>
      </c>
      <c r="D156" s="294">
        <v>2.0</v>
      </c>
      <c r="E156" s="376">
        <v>27.0</v>
      </c>
      <c r="F156" s="355">
        <v>23.0</v>
      </c>
      <c r="G156" s="296">
        <v>7.0</v>
      </c>
      <c r="H156" s="297">
        <v>13.0</v>
      </c>
      <c r="K156" s="52" t="s">
        <v>443</v>
      </c>
      <c r="O156" s="305">
        <v>2.0</v>
      </c>
      <c r="P156" s="52" t="s">
        <v>528</v>
      </c>
    </row>
    <row r="157" ht="15.0" customHeight="1">
      <c r="A157" s="22" t="s">
        <v>4</v>
      </c>
      <c r="B157" s="292">
        <v>31.0</v>
      </c>
      <c r="C157" s="351">
        <v>45.0</v>
      </c>
      <c r="D157" s="294"/>
      <c r="E157" s="376">
        <v>15.0</v>
      </c>
      <c r="F157" s="334">
        <v>10.0</v>
      </c>
      <c r="G157" s="296">
        <v>10.0</v>
      </c>
      <c r="H157" s="297">
        <v>11.0</v>
      </c>
      <c r="K157" s="52" t="s">
        <v>445</v>
      </c>
      <c r="O157" s="124">
        <v>5.0</v>
      </c>
      <c r="P157" s="52" t="s">
        <v>529</v>
      </c>
    </row>
    <row r="158" ht="15.0" customHeight="1">
      <c r="A158" s="22" t="s">
        <v>6</v>
      </c>
      <c r="B158" s="292">
        <v>16.0</v>
      </c>
      <c r="C158" s="351">
        <v>5.0</v>
      </c>
      <c r="D158" s="294"/>
      <c r="E158" s="376">
        <v>3.0</v>
      </c>
      <c r="F158" s="334">
        <v>7.0</v>
      </c>
      <c r="G158" s="296">
        <v>4.0</v>
      </c>
      <c r="H158" s="297">
        <v>5.0</v>
      </c>
      <c r="K158" s="52" t="s">
        <v>447</v>
      </c>
      <c r="O158" s="124">
        <v>17.0</v>
      </c>
      <c r="P158" s="52" t="s">
        <v>530</v>
      </c>
    </row>
    <row r="159" ht="15.0" customHeight="1">
      <c r="A159" s="22" t="s">
        <v>263</v>
      </c>
      <c r="B159" s="292">
        <v>31.0</v>
      </c>
      <c r="C159" s="351">
        <v>22.0</v>
      </c>
      <c r="D159" s="294">
        <v>1.0</v>
      </c>
      <c r="E159" s="376">
        <v>27.0</v>
      </c>
      <c r="F159" s="334">
        <v>13.0</v>
      </c>
      <c r="G159" s="296">
        <v>3.0</v>
      </c>
      <c r="H159" s="297">
        <v>15.0</v>
      </c>
      <c r="K159" s="52" t="s">
        <v>449</v>
      </c>
      <c r="O159" s="310">
        <v>3.0</v>
      </c>
      <c r="P159" s="52" t="s">
        <v>531</v>
      </c>
    </row>
    <row r="160" ht="15.0" customHeight="1">
      <c r="A160" s="22" t="s">
        <v>11</v>
      </c>
      <c r="B160" s="292">
        <v>26.0</v>
      </c>
      <c r="C160" s="351">
        <v>29.0</v>
      </c>
      <c r="D160" s="350">
        <v>3.0</v>
      </c>
      <c r="E160" s="376">
        <v>6.0</v>
      </c>
      <c r="F160" s="334">
        <v>13.0</v>
      </c>
      <c r="G160" s="296">
        <v>5.0</v>
      </c>
      <c r="H160" s="297">
        <v>8.0</v>
      </c>
      <c r="K160" s="52" t="s">
        <v>451</v>
      </c>
      <c r="O160" s="311">
        <v>6.0</v>
      </c>
      <c r="P160" s="52" t="s">
        <v>532</v>
      </c>
    </row>
    <row r="161" ht="15.0" customHeight="1">
      <c r="A161" s="22" t="s">
        <v>9</v>
      </c>
      <c r="B161" s="292">
        <v>15.0</v>
      </c>
      <c r="C161" s="351">
        <v>11.0</v>
      </c>
      <c r="D161" s="294"/>
      <c r="E161" s="376">
        <v>4.0</v>
      </c>
      <c r="F161" s="334">
        <v>5.0</v>
      </c>
      <c r="G161" s="296">
        <v>3.0</v>
      </c>
      <c r="H161" s="297">
        <v>7.0</v>
      </c>
      <c r="K161" s="52" t="s">
        <v>453</v>
      </c>
      <c r="O161" s="301">
        <v>4.0</v>
      </c>
      <c r="P161" s="52" t="s">
        <v>533</v>
      </c>
    </row>
    <row r="162" ht="15.0" customHeight="1">
      <c r="A162" s="22" t="s">
        <v>138</v>
      </c>
      <c r="B162" s="292">
        <v>11.0</v>
      </c>
      <c r="C162" s="351">
        <v>7.0</v>
      </c>
      <c r="D162" s="294"/>
      <c r="E162" s="376">
        <v>3.0</v>
      </c>
      <c r="F162" s="334">
        <v>3.0</v>
      </c>
      <c r="G162" s="296">
        <v>3.0</v>
      </c>
      <c r="H162" s="297">
        <v>5.0</v>
      </c>
    </row>
    <row r="163" ht="15.0" customHeight="1">
      <c r="A163" s="22" t="s">
        <v>175</v>
      </c>
      <c r="B163" s="292">
        <v>7.0</v>
      </c>
      <c r="C163" s="351">
        <v>4.0</v>
      </c>
      <c r="D163" s="294"/>
      <c r="E163" s="376">
        <v>2.0</v>
      </c>
      <c r="F163" s="334">
        <v>4.0</v>
      </c>
      <c r="G163" s="296">
        <v>2.0</v>
      </c>
      <c r="H163" s="297">
        <v>1.0</v>
      </c>
    </row>
    <row r="164" ht="15.0" customHeight="1">
      <c r="A164" s="22" t="s">
        <v>39</v>
      </c>
      <c r="B164" s="292">
        <v>7.0</v>
      </c>
      <c r="C164" s="351">
        <v>8.0</v>
      </c>
      <c r="D164" s="294">
        <v>1.0</v>
      </c>
      <c r="E164" s="376">
        <v>6.0</v>
      </c>
      <c r="F164" s="334">
        <v>2.0</v>
      </c>
      <c r="G164" s="296"/>
      <c r="H164" s="297">
        <v>5.0</v>
      </c>
    </row>
    <row r="165" ht="15.0" customHeight="1">
      <c r="A165" s="22" t="s">
        <v>57</v>
      </c>
      <c r="B165" s="292">
        <v>7.0</v>
      </c>
      <c r="C165" s="351">
        <v>9.0</v>
      </c>
      <c r="D165" s="294"/>
      <c r="E165" s="376"/>
      <c r="F165" s="334">
        <v>2.0</v>
      </c>
      <c r="G165" s="296">
        <v>1.0</v>
      </c>
      <c r="H165" s="297">
        <v>4.0</v>
      </c>
    </row>
    <row r="166" ht="15.0" customHeight="1">
      <c r="A166" s="22" t="s">
        <v>271</v>
      </c>
      <c r="B166" s="357">
        <v>6.0</v>
      </c>
      <c r="C166" s="378">
        <v>9.0</v>
      </c>
      <c r="D166" s="379"/>
      <c r="E166" s="360">
        <v>4.0</v>
      </c>
      <c r="F166" s="380">
        <v>3.0</v>
      </c>
      <c r="G166" s="381">
        <v>1.0</v>
      </c>
      <c r="H166" s="382">
        <v>2.0</v>
      </c>
      <c r="K166" s="312" t="s">
        <v>456</v>
      </c>
      <c r="L166" s="142"/>
      <c r="M166" s="143"/>
    </row>
    <row r="167" ht="15.0" customHeight="1">
      <c r="A167" s="22" t="s">
        <v>248</v>
      </c>
      <c r="B167" s="292">
        <v>4.0</v>
      </c>
      <c r="C167" s="383">
        <v>5.0</v>
      </c>
      <c r="D167" s="294"/>
      <c r="E167" s="376">
        <v>2.0</v>
      </c>
      <c r="F167" s="384">
        <v>3.0</v>
      </c>
      <c r="G167" s="385"/>
      <c r="H167" s="386">
        <v>1.0</v>
      </c>
    </row>
    <row r="168" ht="15.0" customHeight="1">
      <c r="A168" s="22" t="s">
        <v>54</v>
      </c>
      <c r="B168" s="292">
        <v>3.0</v>
      </c>
      <c r="C168" s="351">
        <v>5.0</v>
      </c>
      <c r="D168" s="294">
        <v>1.0</v>
      </c>
      <c r="E168" s="376">
        <v>4.0</v>
      </c>
      <c r="F168" s="334">
        <v>2.0</v>
      </c>
      <c r="G168" s="296"/>
      <c r="H168" s="297">
        <v>1.0</v>
      </c>
      <c r="K168" s="52" t="s">
        <v>457</v>
      </c>
      <c r="O168" s="124">
        <v>54.0</v>
      </c>
      <c r="P168" s="52" t="s">
        <v>514</v>
      </c>
    </row>
    <row r="169" ht="15.0" customHeight="1">
      <c r="A169" s="22" t="s">
        <v>210</v>
      </c>
      <c r="B169" s="292">
        <v>3.0</v>
      </c>
      <c r="C169" s="351">
        <v>5.0</v>
      </c>
      <c r="D169" s="294"/>
      <c r="E169" s="376">
        <v>1.0</v>
      </c>
      <c r="F169" s="361">
        <v>1.0</v>
      </c>
      <c r="G169" s="362"/>
      <c r="H169" s="363">
        <v>2.0</v>
      </c>
      <c r="K169" s="52" t="s">
        <v>459</v>
      </c>
      <c r="O169" s="124">
        <v>18.0</v>
      </c>
      <c r="P169" s="22" t="s">
        <v>534</v>
      </c>
      <c r="Q169" s="387">
        <v>45125.0</v>
      </c>
    </row>
    <row r="170" ht="15.0" customHeight="1">
      <c r="A170" s="22" t="s">
        <v>523</v>
      </c>
      <c r="B170" s="292">
        <v>2.0</v>
      </c>
      <c r="C170" s="351"/>
      <c r="D170" s="294"/>
      <c r="E170" s="376"/>
      <c r="F170" s="361"/>
      <c r="G170" s="362"/>
      <c r="H170" s="363">
        <v>2.0</v>
      </c>
      <c r="K170" s="52" t="s">
        <v>463</v>
      </c>
      <c r="O170" s="124">
        <v>2.0</v>
      </c>
      <c r="P170" s="22" t="s">
        <v>535</v>
      </c>
      <c r="Q170" s="387">
        <v>45273.0</v>
      </c>
    </row>
    <row r="171" ht="15.0" customHeight="1">
      <c r="A171" s="22" t="s">
        <v>211</v>
      </c>
      <c r="B171" s="292">
        <v>1.0</v>
      </c>
      <c r="C171" s="351">
        <v>3.0</v>
      </c>
      <c r="D171" s="294"/>
      <c r="E171" s="376">
        <v>2.0</v>
      </c>
      <c r="F171" s="361">
        <v>1.0</v>
      </c>
      <c r="G171" s="362"/>
      <c r="H171" s="363"/>
      <c r="K171" s="52" t="s">
        <v>466</v>
      </c>
      <c r="O171" s="124">
        <v>487.0</v>
      </c>
      <c r="P171" s="52" t="s">
        <v>518</v>
      </c>
    </row>
    <row r="172" ht="15.0" customHeight="1">
      <c r="A172" s="22" t="s">
        <v>121</v>
      </c>
      <c r="B172" s="292">
        <v>1.0</v>
      </c>
      <c r="C172" s="351">
        <v>2.0</v>
      </c>
      <c r="D172" s="294"/>
      <c r="E172" s="376"/>
      <c r="F172" s="361"/>
      <c r="G172" s="362"/>
      <c r="H172" s="363">
        <v>1.0</v>
      </c>
      <c r="K172" s="52" t="s">
        <v>468</v>
      </c>
      <c r="O172" s="124">
        <v>12.0</v>
      </c>
      <c r="P172" s="22" t="s">
        <v>536</v>
      </c>
      <c r="Q172" s="387">
        <v>44999.0</v>
      </c>
    </row>
    <row r="173" ht="15.0" customHeight="1">
      <c r="A173" s="22" t="s">
        <v>301</v>
      </c>
      <c r="B173" s="292">
        <v>1.0</v>
      </c>
      <c r="C173" s="351"/>
      <c r="D173" s="294"/>
      <c r="E173" s="376"/>
      <c r="F173" s="361"/>
      <c r="G173" s="362"/>
      <c r="H173" s="363">
        <v>1.0</v>
      </c>
      <c r="K173" s="52" t="s">
        <v>537</v>
      </c>
      <c r="O173" s="124">
        <v>0.0</v>
      </c>
      <c r="P173" s="387" t="s">
        <v>538</v>
      </c>
      <c r="Q173" s="387">
        <v>44964.0</v>
      </c>
    </row>
    <row r="174" ht="15.0" customHeight="1">
      <c r="A174" s="22" t="s">
        <v>167</v>
      </c>
      <c r="B174" s="292">
        <v>1.0</v>
      </c>
      <c r="C174" s="351">
        <v>2.0</v>
      </c>
      <c r="D174" s="294"/>
      <c r="E174" s="376"/>
      <c r="F174" s="361"/>
      <c r="G174" s="362">
        <v>1.0</v>
      </c>
      <c r="H174" s="363"/>
      <c r="K174" s="52" t="s">
        <v>470</v>
      </c>
      <c r="O174" s="124">
        <v>52.0</v>
      </c>
    </row>
    <row r="175" ht="15.0" customHeight="1">
      <c r="A175" s="22" t="s">
        <v>304</v>
      </c>
      <c r="B175" s="292">
        <v>1.0</v>
      </c>
      <c r="C175" s="351"/>
      <c r="D175" s="294"/>
      <c r="E175" s="376"/>
      <c r="F175" s="361"/>
      <c r="G175" s="362"/>
      <c r="H175" s="363">
        <v>1.0</v>
      </c>
    </row>
    <row r="176" ht="15.0" customHeight="1">
      <c r="A176" s="22" t="s">
        <v>305</v>
      </c>
      <c r="B176" s="292">
        <v>1.0</v>
      </c>
      <c r="C176" s="351"/>
      <c r="D176" s="294"/>
      <c r="E176" s="376">
        <v>1.0</v>
      </c>
      <c r="F176" s="334">
        <v>1.0</v>
      </c>
      <c r="G176" s="296"/>
      <c r="H176" s="297"/>
    </row>
    <row r="177" ht="21.0" customHeight="1">
      <c r="A177" s="316" t="s">
        <v>3</v>
      </c>
      <c r="B177" s="20"/>
      <c r="C177" s="388">
        <f>C148+C149+C150+C151+C152+C153+C154+C155+C156+C157+C158+C159+C160+C161+C162+C163+C164+C165+C166+C167+C168+C169+C171+C172+C174</f>
        <v>471</v>
      </c>
      <c r="D177" s="389">
        <f>D148+D150+D151+D154+D156+D159+D160+D164+D168</f>
        <v>16</v>
      </c>
      <c r="E177" s="374">
        <f>E148+E149+E150+E151+E152+E153+E154+E155+E156+E157+E158+E159+E160+E161+E162+E163+E164+E166+E167+E168+E169+E171+E175+E176</f>
        <v>321</v>
      </c>
      <c r="H177" s="282"/>
    </row>
    <row r="178" ht="21.0" customHeight="1">
      <c r="A178" s="317"/>
      <c r="B178" s="33"/>
      <c r="C178" s="318">
        <f>C177+D177</f>
        <v>487</v>
      </c>
      <c r="D178" s="3"/>
      <c r="H178" s="282"/>
    </row>
    <row r="179" ht="15.75" customHeight="1">
      <c r="A179" s="22"/>
      <c r="H179" s="282"/>
    </row>
    <row r="180" ht="15.75" customHeight="1">
      <c r="A180" s="22"/>
      <c r="H180" s="282"/>
    </row>
    <row r="181" ht="15.75" customHeight="1">
      <c r="A181" s="22"/>
      <c r="H181" s="282"/>
    </row>
    <row r="182" ht="15.0" customHeight="1">
      <c r="A182" s="321" t="s">
        <v>539</v>
      </c>
      <c r="B182" s="142"/>
      <c r="C182" s="142"/>
      <c r="D182" s="142"/>
      <c r="E182" s="142"/>
      <c r="F182" s="142"/>
      <c r="G182" s="142"/>
      <c r="H182" s="142"/>
      <c r="I182" s="142"/>
      <c r="J182" s="142"/>
      <c r="K182" s="143"/>
    </row>
    <row r="183" ht="21.0" customHeight="1">
      <c r="A183" s="22"/>
      <c r="H183" s="282"/>
    </row>
    <row r="184" ht="21.0" customHeight="1">
      <c r="A184" s="322" t="s">
        <v>540</v>
      </c>
      <c r="B184" s="347" t="s">
        <v>427</v>
      </c>
      <c r="C184" s="285" t="s">
        <v>428</v>
      </c>
      <c r="D184" s="286" t="s">
        <v>429</v>
      </c>
      <c r="E184" s="108" t="s">
        <v>475</v>
      </c>
      <c r="F184" s="375" t="s">
        <v>430</v>
      </c>
      <c r="G184" s="324" t="s">
        <v>431</v>
      </c>
      <c r="H184" s="325" t="s">
        <v>432</v>
      </c>
      <c r="I184" s="390"/>
      <c r="J184" s="345"/>
      <c r="K184" s="289" t="s">
        <v>433</v>
      </c>
      <c r="L184" s="142"/>
      <c r="M184" s="143"/>
    </row>
    <row r="185" ht="15.0" customHeight="1">
      <c r="A185" s="22" t="s">
        <v>5</v>
      </c>
      <c r="B185" s="391">
        <v>33.0</v>
      </c>
      <c r="C185" s="351">
        <v>35.0</v>
      </c>
      <c r="D185" s="350"/>
      <c r="E185" s="376">
        <v>21.0</v>
      </c>
      <c r="F185" s="334">
        <v>13.0</v>
      </c>
      <c r="G185" s="296">
        <v>5.0</v>
      </c>
      <c r="H185" s="335">
        <v>15.0</v>
      </c>
      <c r="I185" s="26"/>
    </row>
    <row r="186" ht="13.5" customHeight="1">
      <c r="A186" s="22" t="s">
        <v>120</v>
      </c>
      <c r="B186" s="391">
        <v>44.0</v>
      </c>
      <c r="C186" s="351">
        <v>24.0</v>
      </c>
      <c r="D186" s="350">
        <v>2.0</v>
      </c>
      <c r="E186" s="377">
        <v>50.0</v>
      </c>
      <c r="F186" s="355">
        <v>25.0</v>
      </c>
      <c r="G186" s="356">
        <v>7.0</v>
      </c>
      <c r="H186" s="335">
        <v>12.0</v>
      </c>
      <c r="I186" s="26"/>
      <c r="K186" s="52" t="s">
        <v>434</v>
      </c>
      <c r="O186" s="299">
        <v>45.0</v>
      </c>
      <c r="P186" s="52" t="s">
        <v>7</v>
      </c>
    </row>
    <row r="187" ht="15.0" customHeight="1">
      <c r="A187" s="22" t="s">
        <v>18</v>
      </c>
      <c r="B187" s="391">
        <v>43.0</v>
      </c>
      <c r="C187" s="351">
        <v>19.0</v>
      </c>
      <c r="D187" s="350">
        <v>2.0</v>
      </c>
      <c r="E187" s="376">
        <v>15.0</v>
      </c>
      <c r="F187" s="334">
        <v>14.0</v>
      </c>
      <c r="G187" s="296">
        <v>5.0</v>
      </c>
      <c r="H187" s="335">
        <v>24.0</v>
      </c>
      <c r="I187" s="26"/>
      <c r="K187" s="52" t="s">
        <v>436</v>
      </c>
      <c r="O187" s="301">
        <v>81.0</v>
      </c>
      <c r="P187" s="23" t="s">
        <v>278</v>
      </c>
    </row>
    <row r="188" ht="15.0" customHeight="1">
      <c r="A188" s="22" t="s">
        <v>7</v>
      </c>
      <c r="B188" s="392">
        <v>45.0</v>
      </c>
      <c r="C188" s="351">
        <v>29.0</v>
      </c>
      <c r="D188" s="350">
        <v>2.0</v>
      </c>
      <c r="E188" s="376">
        <v>36.0</v>
      </c>
      <c r="F188" s="355">
        <v>25.0</v>
      </c>
      <c r="G188" s="296">
        <v>6.0</v>
      </c>
      <c r="H188" s="335">
        <v>14.0</v>
      </c>
      <c r="I188" s="26"/>
      <c r="K188" s="52" t="s">
        <v>477</v>
      </c>
      <c r="O188" s="304">
        <v>50.0</v>
      </c>
      <c r="P188" s="52" t="s">
        <v>120</v>
      </c>
    </row>
    <row r="189" ht="15.0" customHeight="1">
      <c r="A189" s="22" t="s">
        <v>263</v>
      </c>
      <c r="B189" s="391">
        <v>43.0</v>
      </c>
      <c r="C189" s="351">
        <v>36.0</v>
      </c>
      <c r="D189" s="294"/>
      <c r="E189" s="376">
        <v>25.0</v>
      </c>
      <c r="F189" s="334">
        <v>13.0</v>
      </c>
      <c r="G189" s="296">
        <v>6.0</v>
      </c>
      <c r="H189" s="335">
        <v>24.0</v>
      </c>
      <c r="I189" s="26"/>
      <c r="K189" s="52" t="s">
        <v>541</v>
      </c>
      <c r="O189" s="338">
        <v>25.0</v>
      </c>
      <c r="P189" s="23" t="s">
        <v>542</v>
      </c>
    </row>
    <row r="190" ht="15.0" customHeight="1">
      <c r="A190" s="22" t="s">
        <v>17</v>
      </c>
      <c r="B190" s="391">
        <v>40.0</v>
      </c>
      <c r="C190" s="351">
        <v>34.0</v>
      </c>
      <c r="D190" s="350">
        <v>2.0</v>
      </c>
      <c r="E190" s="376">
        <v>30.0</v>
      </c>
      <c r="F190" s="334">
        <v>14.0</v>
      </c>
      <c r="G190" s="296">
        <v>5.0</v>
      </c>
      <c r="H190" s="335">
        <v>21.0</v>
      </c>
      <c r="I190" s="26"/>
      <c r="K190" s="52" t="s">
        <v>543</v>
      </c>
      <c r="O190" s="305">
        <v>26.0</v>
      </c>
      <c r="P190" s="23" t="s">
        <v>166</v>
      </c>
    </row>
    <row r="191" ht="15.0" customHeight="1">
      <c r="A191" s="22" t="s">
        <v>20</v>
      </c>
      <c r="B191" s="391">
        <v>35.0</v>
      </c>
      <c r="C191" s="351">
        <v>32.0</v>
      </c>
      <c r="D191" s="294">
        <v>1.0</v>
      </c>
      <c r="E191" s="376">
        <v>26.0</v>
      </c>
      <c r="F191" s="334">
        <v>20.0</v>
      </c>
      <c r="G191" s="296">
        <v>6.0</v>
      </c>
      <c r="H191" s="335">
        <v>9.0</v>
      </c>
      <c r="I191" s="26"/>
      <c r="K191" s="52" t="s">
        <v>440</v>
      </c>
      <c r="O191" s="307">
        <v>7.0</v>
      </c>
      <c r="P191" s="23" t="s">
        <v>544</v>
      </c>
    </row>
    <row r="192" ht="15.0" customHeight="1">
      <c r="A192" s="22" t="s">
        <v>278</v>
      </c>
      <c r="B192" s="391">
        <v>44.0</v>
      </c>
      <c r="C192" s="349">
        <v>81.0</v>
      </c>
      <c r="D192" s="294">
        <v>1.0</v>
      </c>
      <c r="E192" s="376">
        <v>35.0</v>
      </c>
      <c r="F192" s="334">
        <v>20.0</v>
      </c>
      <c r="G192" s="356">
        <v>7.0</v>
      </c>
      <c r="H192" s="335">
        <v>17.0</v>
      </c>
      <c r="I192" s="26"/>
      <c r="K192" s="52" t="s">
        <v>545</v>
      </c>
      <c r="O192" s="304">
        <v>6.0</v>
      </c>
      <c r="P192" s="23" t="s">
        <v>138</v>
      </c>
    </row>
    <row r="193" ht="15.0" customHeight="1">
      <c r="A193" s="22" t="s">
        <v>166</v>
      </c>
      <c r="B193" s="391">
        <v>44.0</v>
      </c>
      <c r="C193" s="351">
        <v>44.0</v>
      </c>
      <c r="D193" s="350">
        <v>2.0</v>
      </c>
      <c r="E193" s="376">
        <v>22.0</v>
      </c>
      <c r="F193" s="334">
        <v>12.0</v>
      </c>
      <c r="G193" s="296">
        <v>6.0</v>
      </c>
      <c r="H193" s="393">
        <v>26.0</v>
      </c>
      <c r="I193" s="26"/>
      <c r="K193" s="52" t="s">
        <v>546</v>
      </c>
      <c r="O193" s="305">
        <v>6.0</v>
      </c>
      <c r="P193" s="23" t="s">
        <v>138</v>
      </c>
    </row>
    <row r="194" ht="15.0" customHeight="1">
      <c r="A194" s="22" t="s">
        <v>4</v>
      </c>
      <c r="B194" s="391">
        <v>35.0</v>
      </c>
      <c r="C194" s="351">
        <v>52.0</v>
      </c>
      <c r="D194" s="294">
        <v>1.0</v>
      </c>
      <c r="E194" s="376">
        <v>22.0</v>
      </c>
      <c r="F194" s="334">
        <v>16.0</v>
      </c>
      <c r="G194" s="296">
        <v>5.0</v>
      </c>
      <c r="H194" s="335">
        <v>14.0</v>
      </c>
      <c r="I194" s="26"/>
      <c r="K194" s="52" t="s">
        <v>445</v>
      </c>
      <c r="O194" s="124">
        <v>6.0</v>
      </c>
      <c r="P194" s="23" t="s">
        <v>547</v>
      </c>
    </row>
    <row r="195" ht="15.0" customHeight="1">
      <c r="A195" s="22" t="s">
        <v>296</v>
      </c>
      <c r="B195" s="391">
        <v>15.0</v>
      </c>
      <c r="C195" s="351">
        <v>17.0</v>
      </c>
      <c r="D195" s="294"/>
      <c r="E195" s="376">
        <v>13.0</v>
      </c>
      <c r="F195" s="334">
        <v>7.0</v>
      </c>
      <c r="G195" s="296">
        <v>2.0</v>
      </c>
      <c r="H195" s="335">
        <v>6.0</v>
      </c>
      <c r="I195" s="26"/>
      <c r="K195" s="52" t="s">
        <v>447</v>
      </c>
      <c r="O195" s="124">
        <v>12.0</v>
      </c>
      <c r="P195" s="23" t="s">
        <v>548</v>
      </c>
    </row>
    <row r="196" ht="15.0" customHeight="1">
      <c r="A196" s="22" t="s">
        <v>11</v>
      </c>
      <c r="B196" s="391">
        <v>13.0</v>
      </c>
      <c r="C196" s="351">
        <v>13.0</v>
      </c>
      <c r="D196" s="294">
        <v>1.0</v>
      </c>
      <c r="E196" s="376">
        <v>5.0</v>
      </c>
      <c r="F196" s="334">
        <v>8.0</v>
      </c>
      <c r="G196" s="296">
        <v>1.0</v>
      </c>
      <c r="H196" s="335">
        <v>4.0</v>
      </c>
      <c r="I196" s="26"/>
      <c r="K196" s="52" t="s">
        <v>449</v>
      </c>
      <c r="O196" s="310">
        <v>2.0</v>
      </c>
      <c r="P196" s="52" t="s">
        <v>549</v>
      </c>
    </row>
    <row r="197" ht="15.0" customHeight="1">
      <c r="A197" s="22" t="s">
        <v>9</v>
      </c>
      <c r="B197" s="391">
        <v>19.0</v>
      </c>
      <c r="C197" s="351">
        <v>21.0</v>
      </c>
      <c r="D197" s="294"/>
      <c r="E197" s="376">
        <v>7.0</v>
      </c>
      <c r="F197" s="334">
        <v>9.0</v>
      </c>
      <c r="G197" s="296">
        <v>3.0</v>
      </c>
      <c r="H197" s="297">
        <v>7.0</v>
      </c>
      <c r="K197" s="52" t="s">
        <v>451</v>
      </c>
      <c r="O197" s="311">
        <v>6.0</v>
      </c>
      <c r="P197" s="23" t="s">
        <v>550</v>
      </c>
    </row>
    <row r="198" ht="15.0" customHeight="1">
      <c r="A198" s="22" t="s">
        <v>138</v>
      </c>
      <c r="B198" s="394">
        <v>13.0</v>
      </c>
      <c r="C198" s="378">
        <v>14.0</v>
      </c>
      <c r="D198" s="379"/>
      <c r="E198" s="360">
        <v>16.0</v>
      </c>
      <c r="F198" s="380">
        <v>6.0</v>
      </c>
      <c r="G198" s="381">
        <v>1.0</v>
      </c>
      <c r="H198" s="382">
        <v>6.0</v>
      </c>
      <c r="K198" s="52" t="s">
        <v>453</v>
      </c>
      <c r="O198" s="301">
        <v>6.0</v>
      </c>
      <c r="P198" s="23" t="s">
        <v>551</v>
      </c>
    </row>
    <row r="199" ht="15.0" customHeight="1">
      <c r="A199" s="22" t="s">
        <v>175</v>
      </c>
      <c r="B199" s="395">
        <v>5.0</v>
      </c>
      <c r="C199" s="383">
        <v>1.0</v>
      </c>
      <c r="D199" s="396">
        <v>1.0</v>
      </c>
      <c r="E199" s="397">
        <v>3.0</v>
      </c>
      <c r="F199" s="384">
        <v>2.0</v>
      </c>
      <c r="G199" s="385"/>
      <c r="H199" s="386">
        <v>3.0</v>
      </c>
    </row>
    <row r="200" ht="15.0" customHeight="1">
      <c r="A200" s="22" t="s">
        <v>210</v>
      </c>
      <c r="B200" s="391">
        <v>9.0</v>
      </c>
      <c r="C200" s="351">
        <v>14.0</v>
      </c>
      <c r="D200" s="294"/>
      <c r="E200" s="376">
        <v>3.0</v>
      </c>
      <c r="F200" s="334">
        <v>3.0</v>
      </c>
      <c r="G200" s="296">
        <v>2.0</v>
      </c>
      <c r="H200" s="297">
        <v>4.0</v>
      </c>
    </row>
    <row r="201" ht="15.0" customHeight="1">
      <c r="A201" s="22" t="s">
        <v>211</v>
      </c>
      <c r="B201" s="395">
        <v>1.0</v>
      </c>
      <c r="C201" s="383">
        <v>1.0</v>
      </c>
      <c r="D201" s="396"/>
      <c r="E201" s="397">
        <v>1.0</v>
      </c>
      <c r="F201" s="384">
        <v>1.0</v>
      </c>
      <c r="G201" s="385"/>
      <c r="H201" s="386"/>
    </row>
    <row r="202" ht="15.0" customHeight="1">
      <c r="A202" s="22" t="s">
        <v>6</v>
      </c>
      <c r="B202" s="391">
        <v>1.0</v>
      </c>
      <c r="C202" s="351"/>
      <c r="D202" s="294"/>
      <c r="E202" s="376"/>
      <c r="F202" s="334"/>
      <c r="G202" s="296"/>
      <c r="H202" s="297">
        <v>1.0</v>
      </c>
      <c r="K202" s="312" t="s">
        <v>456</v>
      </c>
      <c r="L202" s="142"/>
      <c r="M202" s="143"/>
    </row>
    <row r="203" ht="15.0" customHeight="1">
      <c r="A203" s="22" t="s">
        <v>54</v>
      </c>
      <c r="B203" s="391">
        <v>3.0</v>
      </c>
      <c r="C203" s="351">
        <v>3.0</v>
      </c>
      <c r="D203" s="294"/>
      <c r="E203" s="376">
        <v>3.0</v>
      </c>
      <c r="F203" s="334">
        <v>2.0</v>
      </c>
      <c r="G203" s="296">
        <v>1.0</v>
      </c>
      <c r="H203" s="297"/>
    </row>
    <row r="204" ht="15.0" customHeight="1">
      <c r="A204" s="22" t="s">
        <v>311</v>
      </c>
      <c r="B204" s="395">
        <v>1.0</v>
      </c>
      <c r="C204" s="383">
        <v>3.0</v>
      </c>
      <c r="D204" s="396"/>
      <c r="E204" s="397">
        <v>1.0</v>
      </c>
      <c r="F204" s="384"/>
      <c r="G204" s="385"/>
      <c r="H204" s="386">
        <v>1.0</v>
      </c>
      <c r="K204" s="52" t="s">
        <v>457</v>
      </c>
      <c r="O204" s="124">
        <v>53.0</v>
      </c>
      <c r="P204" s="52" t="s">
        <v>552</v>
      </c>
    </row>
    <row r="205" ht="15.0" customHeight="1">
      <c r="A205" s="22" t="s">
        <v>313</v>
      </c>
      <c r="B205" s="391">
        <v>1.0</v>
      </c>
      <c r="C205" s="351"/>
      <c r="D205" s="294"/>
      <c r="E205" s="376"/>
      <c r="F205" s="334"/>
      <c r="G205" s="296"/>
      <c r="H205" s="297">
        <v>1.0</v>
      </c>
      <c r="K205" s="52" t="s">
        <v>459</v>
      </c>
      <c r="O205" s="124">
        <v>16.0</v>
      </c>
      <c r="P205" s="22" t="s">
        <v>553</v>
      </c>
      <c r="Q205" s="387">
        <v>45349.0</v>
      </c>
    </row>
    <row r="206" ht="15.0" customHeight="1">
      <c r="A206" s="22" t="s">
        <v>304</v>
      </c>
      <c r="B206" s="391">
        <v>1.0</v>
      </c>
      <c r="C206" s="351">
        <v>2.0</v>
      </c>
      <c r="D206" s="294"/>
      <c r="E206" s="376">
        <v>1.0</v>
      </c>
      <c r="F206" s="361"/>
      <c r="G206" s="362">
        <v>1.0</v>
      </c>
      <c r="H206" s="363"/>
      <c r="K206" s="52" t="s">
        <v>463</v>
      </c>
      <c r="O206" s="124">
        <v>3.0</v>
      </c>
      <c r="P206" s="22" t="s">
        <v>554</v>
      </c>
      <c r="Q206" s="387">
        <v>45454.0</v>
      </c>
    </row>
    <row r="207" ht="15.0" customHeight="1">
      <c r="A207" s="22" t="s">
        <v>314</v>
      </c>
      <c r="B207" s="391">
        <v>1.0</v>
      </c>
      <c r="C207" s="351"/>
      <c r="D207" s="294"/>
      <c r="E207" s="376"/>
      <c r="F207" s="361"/>
      <c r="G207" s="362"/>
      <c r="H207" s="363">
        <v>1.0</v>
      </c>
      <c r="K207" s="52" t="s">
        <v>466</v>
      </c>
      <c r="O207" s="124">
        <v>508.0</v>
      </c>
      <c r="P207" s="52" t="s">
        <v>555</v>
      </c>
    </row>
    <row r="208" ht="15.0" customHeight="1">
      <c r="A208" s="22" t="s">
        <v>55</v>
      </c>
      <c r="B208" s="391">
        <v>1.0</v>
      </c>
      <c r="C208" s="351">
        <v>2.0</v>
      </c>
      <c r="D208" s="294"/>
      <c r="E208" s="376">
        <v>1.0</v>
      </c>
      <c r="F208" s="361">
        <v>1.0</v>
      </c>
      <c r="G208" s="362"/>
      <c r="H208" s="363"/>
      <c r="K208" s="52" t="s">
        <v>468</v>
      </c>
      <c r="O208" s="124">
        <v>10.0</v>
      </c>
      <c r="P208" s="22" t="s">
        <v>553</v>
      </c>
      <c r="Q208" s="387">
        <v>45349.0</v>
      </c>
    </row>
    <row r="209" ht="15.0" customHeight="1">
      <c r="A209" s="22" t="s">
        <v>57</v>
      </c>
      <c r="B209" s="391">
        <v>4.0</v>
      </c>
      <c r="C209" s="351">
        <v>7.0</v>
      </c>
      <c r="D209" s="294"/>
      <c r="E209" s="376">
        <v>2.0</v>
      </c>
      <c r="F209" s="361">
        <v>2.0</v>
      </c>
      <c r="G209" s="362"/>
      <c r="H209" s="363">
        <v>2.0</v>
      </c>
      <c r="K209" s="52" t="s">
        <v>537</v>
      </c>
      <c r="O209" s="124">
        <v>1.0</v>
      </c>
      <c r="P209" s="22" t="s">
        <v>554</v>
      </c>
      <c r="Q209" s="387">
        <v>45454.0</v>
      </c>
    </row>
    <row r="210" ht="15.0" customHeight="1">
      <c r="A210" s="22" t="s">
        <v>323</v>
      </c>
      <c r="B210" s="391">
        <v>1.0</v>
      </c>
      <c r="C210" s="351">
        <v>1.0</v>
      </c>
      <c r="D210" s="294"/>
      <c r="E210" s="376"/>
      <c r="F210" s="361"/>
      <c r="G210" s="362"/>
      <c r="H210" s="363">
        <v>1.0</v>
      </c>
      <c r="K210" s="52" t="s">
        <v>470</v>
      </c>
      <c r="O210" s="124">
        <v>50.0</v>
      </c>
    </row>
    <row r="211" ht="15.0" customHeight="1">
      <c r="A211" s="22" t="s">
        <v>332</v>
      </c>
      <c r="B211" s="391">
        <v>1.0</v>
      </c>
      <c r="C211" s="351"/>
      <c r="D211" s="294"/>
      <c r="E211" s="376">
        <v>2.0</v>
      </c>
      <c r="F211" s="361">
        <v>1.0</v>
      </c>
      <c r="G211" s="362"/>
      <c r="H211" s="363"/>
      <c r="K211" s="52" t="s">
        <v>556</v>
      </c>
      <c r="O211" s="124">
        <v>30.0</v>
      </c>
    </row>
    <row r="212" ht="15.0" customHeight="1">
      <c r="A212" s="22" t="s">
        <v>523</v>
      </c>
      <c r="B212" s="391">
        <v>1.0</v>
      </c>
      <c r="C212" s="351">
        <v>2.0</v>
      </c>
      <c r="D212" s="294"/>
      <c r="E212" s="376"/>
      <c r="F212" s="361"/>
      <c r="G212" s="362">
        <v>1.0</v>
      </c>
      <c r="H212" s="363"/>
      <c r="O212" s="124"/>
    </row>
    <row r="213" ht="15.0" customHeight="1">
      <c r="A213" s="22" t="s">
        <v>339</v>
      </c>
      <c r="B213" s="391">
        <v>1.0</v>
      </c>
      <c r="C213" s="351">
        <v>2.0</v>
      </c>
      <c r="D213" s="294"/>
      <c r="E213" s="376">
        <v>1.0</v>
      </c>
      <c r="F213" s="361">
        <v>1.0</v>
      </c>
      <c r="G213" s="362"/>
      <c r="H213" s="363"/>
      <c r="O213" s="124"/>
    </row>
    <row r="214" ht="15.0" customHeight="1">
      <c r="A214" s="22" t="s">
        <v>14</v>
      </c>
      <c r="B214" s="391">
        <v>2.0</v>
      </c>
      <c r="C214" s="351">
        <v>4.0</v>
      </c>
      <c r="D214" s="294"/>
      <c r="E214" s="376">
        <v>3.0</v>
      </c>
      <c r="F214" s="334">
        <v>1.0</v>
      </c>
      <c r="G214" s="296"/>
      <c r="H214" s="297">
        <v>2.0</v>
      </c>
    </row>
    <row r="215" ht="21.0" customHeight="1">
      <c r="A215" s="316" t="s">
        <v>3</v>
      </c>
      <c r="B215" s="20"/>
      <c r="C215" s="388">
        <f t="shared" ref="C215:E215" si="1">SUM(C185:C214)</f>
        <v>493</v>
      </c>
      <c r="D215" s="389">
        <f t="shared" si="1"/>
        <v>15</v>
      </c>
      <c r="E215" s="398">
        <f t="shared" si="1"/>
        <v>344</v>
      </c>
      <c r="H215" s="282"/>
    </row>
    <row r="216" ht="21.0" customHeight="1">
      <c r="A216" s="317"/>
      <c r="B216" s="33"/>
      <c r="C216" s="318">
        <f>C215+D215</f>
        <v>508</v>
      </c>
      <c r="D216" s="3"/>
      <c r="H216" s="282"/>
    </row>
    <row r="217" ht="15.75" customHeight="1">
      <c r="H217" s="282"/>
    </row>
    <row r="218" ht="15.75" customHeight="1">
      <c r="H218" s="282"/>
    </row>
    <row r="219" ht="15.75" customHeight="1">
      <c r="H219" s="282"/>
    </row>
    <row r="220" ht="21.0" customHeight="1">
      <c r="A220" s="321" t="s">
        <v>557</v>
      </c>
      <c r="B220" s="142"/>
      <c r="C220" s="142"/>
      <c r="D220" s="142"/>
      <c r="E220" s="142"/>
      <c r="F220" s="142"/>
      <c r="G220" s="142"/>
      <c r="H220" s="142"/>
      <c r="I220" s="142"/>
      <c r="J220" s="142"/>
      <c r="K220" s="143"/>
    </row>
    <row r="221" ht="21.0" customHeight="1">
      <c r="H221" s="282"/>
    </row>
    <row r="222" ht="21.0" customHeight="1">
      <c r="A222" s="322" t="s">
        <v>558</v>
      </c>
      <c r="B222" s="347" t="s">
        <v>427</v>
      </c>
      <c r="C222" s="285" t="s">
        <v>428</v>
      </c>
      <c r="D222" s="286" t="s">
        <v>429</v>
      </c>
      <c r="E222" s="108" t="s">
        <v>475</v>
      </c>
      <c r="F222" s="375" t="s">
        <v>430</v>
      </c>
      <c r="G222" s="324" t="s">
        <v>431</v>
      </c>
      <c r="H222" s="325" t="s">
        <v>432</v>
      </c>
      <c r="I222" s="390"/>
      <c r="J222" s="345"/>
      <c r="K222" s="289" t="s">
        <v>433</v>
      </c>
      <c r="L222" s="142"/>
      <c r="M222" s="143"/>
    </row>
    <row r="223" ht="15.0" customHeight="1">
      <c r="A223" s="22" t="s">
        <v>5</v>
      </c>
      <c r="B223" s="391">
        <v>43.0</v>
      </c>
      <c r="C223" s="351">
        <v>53.0</v>
      </c>
      <c r="D223" s="294">
        <v>2.0</v>
      </c>
      <c r="E223" s="377">
        <v>46.0</v>
      </c>
      <c r="F223" s="334">
        <v>21.0</v>
      </c>
      <c r="G223" s="296">
        <v>5.0</v>
      </c>
      <c r="H223" s="297">
        <v>17.0</v>
      </c>
      <c r="I223" s="399"/>
      <c r="J223" s="400"/>
      <c r="P223" s="22"/>
    </row>
    <row r="224" ht="15.0" customHeight="1">
      <c r="A224" s="22" t="s">
        <v>120</v>
      </c>
      <c r="B224" s="392">
        <v>45.0</v>
      </c>
      <c r="C224" s="351">
        <v>36.0</v>
      </c>
      <c r="D224" s="350">
        <v>4.0</v>
      </c>
      <c r="E224" s="376">
        <v>42.0</v>
      </c>
      <c r="F224" s="334">
        <v>18.0</v>
      </c>
      <c r="G224" s="356">
        <v>6.0</v>
      </c>
      <c r="H224" s="352">
        <v>21.0</v>
      </c>
      <c r="I224" s="399"/>
      <c r="J224" s="400"/>
      <c r="K224" s="52" t="s">
        <v>434</v>
      </c>
      <c r="O224" s="299">
        <v>45.0</v>
      </c>
      <c r="P224" s="52" t="s">
        <v>559</v>
      </c>
    </row>
    <row r="225" ht="15.0" customHeight="1">
      <c r="A225" s="22" t="s">
        <v>18</v>
      </c>
      <c r="B225" s="392">
        <v>45.0</v>
      </c>
      <c r="C225" s="351">
        <v>21.0</v>
      </c>
      <c r="D225" s="294"/>
      <c r="E225" s="376">
        <v>13.0</v>
      </c>
      <c r="F225" s="355">
        <v>26.0</v>
      </c>
      <c r="G225" s="296">
        <v>5.0</v>
      </c>
      <c r="H225" s="297">
        <v>14.0</v>
      </c>
      <c r="I225" s="399"/>
      <c r="J225" s="400"/>
      <c r="K225" s="52" t="s">
        <v>436</v>
      </c>
      <c r="O225" s="301">
        <v>70.0</v>
      </c>
      <c r="P225" s="23" t="s">
        <v>278</v>
      </c>
    </row>
    <row r="226" ht="15.0" customHeight="1">
      <c r="A226" s="22" t="s">
        <v>7</v>
      </c>
      <c r="B226" s="391">
        <v>44.0</v>
      </c>
      <c r="C226" s="351">
        <v>27.0</v>
      </c>
      <c r="D226" s="294">
        <v>2.0</v>
      </c>
      <c r="E226" s="376">
        <v>38.0</v>
      </c>
      <c r="F226" s="334">
        <v>17.0</v>
      </c>
      <c r="G226" s="356">
        <v>6.0</v>
      </c>
      <c r="H226" s="352">
        <v>21.0</v>
      </c>
      <c r="I226" s="399"/>
      <c r="J226" s="400"/>
      <c r="K226" s="52" t="s">
        <v>477</v>
      </c>
      <c r="O226" s="304">
        <v>46.0</v>
      </c>
      <c r="P226" s="23" t="s">
        <v>5</v>
      </c>
    </row>
    <row r="227" ht="15.0" customHeight="1">
      <c r="A227" s="22" t="s">
        <v>263</v>
      </c>
      <c r="B227" s="391">
        <v>20.0</v>
      </c>
      <c r="C227" s="351">
        <v>16.0</v>
      </c>
      <c r="D227" s="294">
        <v>3.0</v>
      </c>
      <c r="E227" s="376">
        <v>11.0</v>
      </c>
      <c r="F227" s="334">
        <v>12.0</v>
      </c>
      <c r="G227" s="296">
        <v>2.0</v>
      </c>
      <c r="H227" s="297">
        <v>6.0</v>
      </c>
      <c r="I227" s="399"/>
      <c r="J227" s="400"/>
      <c r="K227" s="52" t="s">
        <v>541</v>
      </c>
      <c r="O227" s="338">
        <v>26.0</v>
      </c>
      <c r="P227" s="23" t="s">
        <v>18</v>
      </c>
    </row>
    <row r="228" ht="15.0" customHeight="1">
      <c r="A228" s="22" t="s">
        <v>17</v>
      </c>
      <c r="B228" s="391">
        <v>30.0</v>
      </c>
      <c r="C228" s="351">
        <v>36.0</v>
      </c>
      <c r="D228" s="294"/>
      <c r="E228" s="376">
        <v>20.0</v>
      </c>
      <c r="F228" s="334">
        <v>13.0</v>
      </c>
      <c r="G228" s="296">
        <v>2.0</v>
      </c>
      <c r="H228" s="297">
        <v>15.0</v>
      </c>
      <c r="I228" s="399"/>
      <c r="J228" s="400"/>
      <c r="K228" s="52" t="s">
        <v>543</v>
      </c>
      <c r="O228" s="305">
        <v>21.0</v>
      </c>
      <c r="P228" s="52" t="s">
        <v>542</v>
      </c>
    </row>
    <row r="229" ht="15.0" customHeight="1">
      <c r="A229" s="22" t="s">
        <v>20</v>
      </c>
      <c r="B229" s="391">
        <v>27.0</v>
      </c>
      <c r="C229" s="351">
        <v>21.0</v>
      </c>
      <c r="D229" s="294"/>
      <c r="E229" s="376">
        <v>18.0</v>
      </c>
      <c r="F229" s="334">
        <v>12.0</v>
      </c>
      <c r="G229" s="296">
        <v>4.0</v>
      </c>
      <c r="H229" s="297">
        <v>11.0</v>
      </c>
      <c r="I229" s="399"/>
      <c r="J229" s="400"/>
      <c r="K229" s="52" t="s">
        <v>440</v>
      </c>
      <c r="O229" s="307">
        <v>6.0</v>
      </c>
      <c r="P229" s="52" t="s">
        <v>560</v>
      </c>
    </row>
    <row r="230" ht="15.0" customHeight="1">
      <c r="A230" s="22" t="s">
        <v>278</v>
      </c>
      <c r="B230" s="391">
        <v>38.0</v>
      </c>
      <c r="C230" s="349">
        <v>70.0</v>
      </c>
      <c r="D230" s="294">
        <v>1.0</v>
      </c>
      <c r="E230" s="376">
        <v>25.0</v>
      </c>
      <c r="F230" s="334">
        <v>22.0</v>
      </c>
      <c r="G230" s="296">
        <v>4.0</v>
      </c>
      <c r="H230" s="297">
        <v>12.0</v>
      </c>
      <c r="I230" s="399"/>
      <c r="J230" s="400"/>
      <c r="K230" s="52" t="s">
        <v>545</v>
      </c>
      <c r="O230" s="304">
        <v>4.0</v>
      </c>
      <c r="P230" s="23" t="s">
        <v>153</v>
      </c>
    </row>
    <row r="231" ht="15.0" customHeight="1">
      <c r="A231" s="22" t="s">
        <v>166</v>
      </c>
      <c r="B231" s="391">
        <v>41.0</v>
      </c>
      <c r="C231" s="351">
        <v>48.0</v>
      </c>
      <c r="D231" s="294">
        <v>1.0</v>
      </c>
      <c r="E231" s="376">
        <v>27.0</v>
      </c>
      <c r="F231" s="334">
        <v>16.0</v>
      </c>
      <c r="G231" s="296">
        <v>5.0</v>
      </c>
      <c r="H231" s="297">
        <v>20.0</v>
      </c>
      <c r="I231" s="401"/>
      <c r="J231" s="402"/>
      <c r="K231" s="52" t="s">
        <v>546</v>
      </c>
      <c r="O231" s="305">
        <v>2.0</v>
      </c>
      <c r="P231" s="23" t="s">
        <v>359</v>
      </c>
    </row>
    <row r="232" ht="15.0" customHeight="1">
      <c r="A232" s="22" t="s">
        <v>4</v>
      </c>
      <c r="B232" s="391">
        <v>36.0</v>
      </c>
      <c r="C232" s="351">
        <v>39.0</v>
      </c>
      <c r="D232" s="294"/>
      <c r="E232" s="376">
        <v>23.0</v>
      </c>
      <c r="F232" s="334">
        <v>13.0</v>
      </c>
      <c r="G232" s="356">
        <v>6.0</v>
      </c>
      <c r="H232" s="297">
        <v>17.0</v>
      </c>
      <c r="I232" s="399"/>
      <c r="J232" s="400"/>
      <c r="K232" s="52" t="s">
        <v>445</v>
      </c>
      <c r="O232" s="124">
        <v>6.0</v>
      </c>
      <c r="P232" s="23" t="s">
        <v>561</v>
      </c>
    </row>
    <row r="233" ht="15.0" customHeight="1">
      <c r="A233" s="22" t="s">
        <v>296</v>
      </c>
      <c r="B233" s="391">
        <v>24.0</v>
      </c>
      <c r="C233" s="351">
        <v>18.0</v>
      </c>
      <c r="D233" s="294">
        <v>1.0</v>
      </c>
      <c r="E233" s="376">
        <v>15.0</v>
      </c>
      <c r="F233" s="334">
        <v>7.0</v>
      </c>
      <c r="G233" s="296">
        <v>5.0</v>
      </c>
      <c r="H233" s="297">
        <v>12.0</v>
      </c>
      <c r="I233" s="399"/>
      <c r="J233" s="400"/>
      <c r="K233" s="52" t="s">
        <v>447</v>
      </c>
      <c r="O233" s="124">
        <v>11.0</v>
      </c>
      <c r="P233" s="23" t="s">
        <v>562</v>
      </c>
    </row>
    <row r="234" ht="15.0" customHeight="1">
      <c r="A234" s="22" t="s">
        <v>210</v>
      </c>
      <c r="B234" s="391">
        <v>16.0</v>
      </c>
      <c r="C234" s="351">
        <v>17.0</v>
      </c>
      <c r="D234" s="294"/>
      <c r="E234" s="376">
        <v>4.0</v>
      </c>
      <c r="F234" s="334">
        <v>6.0</v>
      </c>
      <c r="G234" s="296">
        <v>2.0</v>
      </c>
      <c r="H234" s="297">
        <v>8.0</v>
      </c>
      <c r="K234" s="52" t="s">
        <v>449</v>
      </c>
      <c r="O234" s="310">
        <v>4.0</v>
      </c>
      <c r="P234" s="52" t="s">
        <v>10</v>
      </c>
    </row>
    <row r="235" ht="15.0" customHeight="1">
      <c r="A235" s="22" t="s">
        <v>14</v>
      </c>
      <c r="B235" s="391">
        <v>18.0</v>
      </c>
      <c r="C235" s="351">
        <v>18.0</v>
      </c>
      <c r="D235" s="294"/>
      <c r="E235" s="376">
        <v>16.0</v>
      </c>
      <c r="F235" s="334">
        <v>6.0</v>
      </c>
      <c r="G235" s="296">
        <v>1.0</v>
      </c>
      <c r="H235" s="297">
        <v>11.0</v>
      </c>
      <c r="K235" s="52" t="s">
        <v>451</v>
      </c>
      <c r="O235" s="311">
        <v>10.0</v>
      </c>
      <c r="P235" s="23" t="s">
        <v>563</v>
      </c>
    </row>
    <row r="236" ht="15.0" customHeight="1">
      <c r="A236" s="22" t="s">
        <v>138</v>
      </c>
      <c r="B236" s="391">
        <v>11.0</v>
      </c>
      <c r="C236" s="383">
        <v>9.0</v>
      </c>
      <c r="D236" s="396">
        <v>1.0</v>
      </c>
      <c r="E236" s="397">
        <v>7.0</v>
      </c>
      <c r="F236" s="384">
        <v>5.0</v>
      </c>
      <c r="G236" s="385">
        <v>2.0</v>
      </c>
      <c r="H236" s="386">
        <v>4.0</v>
      </c>
      <c r="K236" s="52" t="s">
        <v>453</v>
      </c>
      <c r="O236" s="301">
        <v>8.0</v>
      </c>
      <c r="P236" s="23" t="s">
        <v>564</v>
      </c>
    </row>
    <row r="237" ht="15.0" customHeight="1">
      <c r="A237" s="22" t="s">
        <v>565</v>
      </c>
      <c r="B237" s="394">
        <v>10.0</v>
      </c>
      <c r="C237" s="378">
        <v>9.0</v>
      </c>
      <c r="D237" s="379"/>
      <c r="E237" s="360">
        <v>4.0</v>
      </c>
      <c r="F237" s="380">
        <v>2.0</v>
      </c>
      <c r="G237" s="381">
        <v>2.0</v>
      </c>
      <c r="H237" s="382">
        <v>6.0</v>
      </c>
      <c r="P237" s="22"/>
    </row>
    <row r="238" ht="15.0" customHeight="1">
      <c r="A238" s="22" t="s">
        <v>6</v>
      </c>
      <c r="B238" s="395">
        <v>5.0</v>
      </c>
      <c r="C238" s="383">
        <v>1.0</v>
      </c>
      <c r="D238" s="396"/>
      <c r="E238" s="397"/>
      <c r="F238" s="384"/>
      <c r="G238" s="385"/>
      <c r="H238" s="386">
        <v>5.0</v>
      </c>
      <c r="P238" s="22"/>
    </row>
    <row r="239" ht="15.0" customHeight="1">
      <c r="A239" s="22" t="s">
        <v>9</v>
      </c>
      <c r="B239" s="391">
        <v>5.0</v>
      </c>
      <c r="C239" s="351">
        <v>5.0</v>
      </c>
      <c r="D239" s="294"/>
      <c r="E239" s="376">
        <v>2.0</v>
      </c>
      <c r="F239" s="334">
        <v>3.0</v>
      </c>
      <c r="G239" s="296">
        <v>1.0</v>
      </c>
      <c r="H239" s="297">
        <v>1.0</v>
      </c>
      <c r="P239" s="22"/>
    </row>
    <row r="240" ht="15.0" customHeight="1">
      <c r="A240" s="22" t="s">
        <v>11</v>
      </c>
      <c r="B240" s="391">
        <v>4.0</v>
      </c>
      <c r="C240" s="351">
        <v>3.0</v>
      </c>
      <c r="D240" s="294"/>
      <c r="E240" s="376">
        <v>1.0</v>
      </c>
      <c r="F240" s="334">
        <v>2.0</v>
      </c>
      <c r="G240" s="296"/>
      <c r="H240" s="297">
        <v>2.0</v>
      </c>
      <c r="K240" s="312" t="s">
        <v>456</v>
      </c>
      <c r="L240" s="142"/>
      <c r="M240" s="143"/>
      <c r="P240" s="22"/>
    </row>
    <row r="241" ht="15.0" customHeight="1">
      <c r="A241" s="22" t="s">
        <v>137</v>
      </c>
      <c r="B241" s="391">
        <v>4.0</v>
      </c>
      <c r="C241" s="351"/>
      <c r="D241" s="294"/>
      <c r="E241" s="376"/>
      <c r="F241" s="334"/>
      <c r="G241" s="296">
        <v>1.0</v>
      </c>
      <c r="H241" s="297">
        <v>3.0</v>
      </c>
      <c r="P241" s="22"/>
    </row>
    <row r="242" ht="15.0" customHeight="1">
      <c r="A242" s="22" t="s">
        <v>54</v>
      </c>
      <c r="B242" s="391">
        <v>3.0</v>
      </c>
      <c r="C242" s="383">
        <v>4.0</v>
      </c>
      <c r="D242" s="396"/>
      <c r="E242" s="397">
        <v>7.0</v>
      </c>
      <c r="F242" s="384">
        <v>3.0</v>
      </c>
      <c r="G242" s="385"/>
      <c r="H242" s="386"/>
      <c r="K242" s="52" t="s">
        <v>457</v>
      </c>
      <c r="O242" s="124">
        <v>51.0</v>
      </c>
      <c r="P242" s="22" t="s">
        <v>566</v>
      </c>
    </row>
    <row r="243" ht="15.0" customHeight="1">
      <c r="A243" s="22" t="s">
        <v>304</v>
      </c>
      <c r="B243" s="391">
        <v>3.0</v>
      </c>
      <c r="C243" s="351">
        <v>3.0</v>
      </c>
      <c r="D243" s="294"/>
      <c r="E243" s="376">
        <v>3.0</v>
      </c>
      <c r="F243" s="334">
        <v>1.0</v>
      </c>
      <c r="G243" s="296"/>
      <c r="H243" s="297">
        <v>2.0</v>
      </c>
      <c r="K243" s="52" t="s">
        <v>459</v>
      </c>
      <c r="O243" s="124">
        <v>18.0</v>
      </c>
      <c r="P243" s="403" t="s">
        <v>567</v>
      </c>
      <c r="Q243" s="387"/>
    </row>
    <row r="244" ht="15.0" customHeight="1">
      <c r="A244" s="22" t="s">
        <v>39</v>
      </c>
      <c r="B244" s="391">
        <v>2.0</v>
      </c>
      <c r="C244" s="351">
        <v>2.0</v>
      </c>
      <c r="D244" s="294"/>
      <c r="E244" s="376"/>
      <c r="F244" s="361">
        <v>1.0</v>
      </c>
      <c r="G244" s="362"/>
      <c r="H244" s="363">
        <v>1.0</v>
      </c>
      <c r="K244" s="52" t="s">
        <v>463</v>
      </c>
      <c r="O244" s="124">
        <v>4.0</v>
      </c>
      <c r="P244" s="23" t="s">
        <v>568</v>
      </c>
      <c r="Q244" s="387"/>
      <c r="R244" s="387"/>
    </row>
    <row r="245" ht="15.0" customHeight="1">
      <c r="A245" s="22" t="s">
        <v>55</v>
      </c>
      <c r="B245" s="391">
        <v>1.0</v>
      </c>
      <c r="C245" s="351">
        <v>1.0</v>
      </c>
      <c r="D245" s="294"/>
      <c r="E245" s="376">
        <v>2.0</v>
      </c>
      <c r="F245" s="361">
        <v>1.0</v>
      </c>
      <c r="G245" s="362"/>
      <c r="H245" s="363"/>
      <c r="K245" s="52" t="s">
        <v>466</v>
      </c>
      <c r="O245" s="124">
        <v>474.0</v>
      </c>
      <c r="P245" s="52" t="s">
        <v>555</v>
      </c>
    </row>
    <row r="246" ht="15.0" customHeight="1">
      <c r="A246" s="22" t="s">
        <v>344</v>
      </c>
      <c r="B246" s="391">
        <v>1.0</v>
      </c>
      <c r="C246" s="351">
        <v>1.0</v>
      </c>
      <c r="D246" s="294"/>
      <c r="E246" s="376">
        <v>1.0</v>
      </c>
      <c r="F246" s="361">
        <v>1.0</v>
      </c>
      <c r="G246" s="362"/>
      <c r="H246" s="363"/>
      <c r="K246" s="52" t="s">
        <v>468</v>
      </c>
      <c r="O246" s="124">
        <v>10.0</v>
      </c>
      <c r="P246" s="23" t="s">
        <v>569</v>
      </c>
    </row>
    <row r="247" ht="15.0" customHeight="1">
      <c r="A247" s="22" t="s">
        <v>57</v>
      </c>
      <c r="B247" s="391">
        <v>1.0</v>
      </c>
      <c r="C247" s="351"/>
      <c r="D247" s="294"/>
      <c r="E247" s="376">
        <v>1.0</v>
      </c>
      <c r="F247" s="361"/>
      <c r="G247" s="362">
        <v>1.0</v>
      </c>
      <c r="H247" s="363"/>
      <c r="K247" s="52" t="s">
        <v>537</v>
      </c>
      <c r="O247" s="124">
        <v>0.0</v>
      </c>
      <c r="P247" s="23" t="s">
        <v>570</v>
      </c>
    </row>
    <row r="248" ht="15.0" customHeight="1">
      <c r="A248" s="22" t="s">
        <v>211</v>
      </c>
      <c r="B248" s="391">
        <v>1.0</v>
      </c>
      <c r="C248" s="351">
        <v>1.0</v>
      </c>
      <c r="D248" s="294"/>
      <c r="E248" s="333">
        <v>4.0</v>
      </c>
      <c r="F248" s="341">
        <v>1.0</v>
      </c>
      <c r="G248" s="296"/>
      <c r="H248" s="297"/>
      <c r="K248" s="52" t="s">
        <v>470</v>
      </c>
      <c r="O248" s="124">
        <v>48.0</v>
      </c>
      <c r="P248" s="23" t="s">
        <v>571</v>
      </c>
    </row>
    <row r="249" ht="21.0" customHeight="1">
      <c r="A249" s="316" t="s">
        <v>3</v>
      </c>
      <c r="B249" s="20"/>
      <c r="C249" s="404">
        <f t="shared" ref="C249:E249" si="2">SUM(C223:C248)</f>
        <v>459</v>
      </c>
      <c r="D249" s="405">
        <f t="shared" si="2"/>
        <v>15</v>
      </c>
      <c r="E249" s="406">
        <f t="shared" si="2"/>
        <v>330</v>
      </c>
      <c r="H249" s="282"/>
      <c r="K249" s="52" t="s">
        <v>556</v>
      </c>
      <c r="O249" s="124">
        <v>26.0</v>
      </c>
    </row>
    <row r="250" ht="21.0" customHeight="1">
      <c r="A250" s="317"/>
      <c r="B250" s="33"/>
      <c r="C250" s="318">
        <f>C249+D249</f>
        <v>474</v>
      </c>
      <c r="D250" s="3"/>
      <c r="H250" s="282"/>
    </row>
    <row r="251" ht="21.0" customHeight="1">
      <c r="H251" s="282"/>
    </row>
    <row r="252" ht="21.0" customHeight="1">
      <c r="H252" s="282"/>
    </row>
    <row r="253" ht="21.0" customHeight="1">
      <c r="H253" s="282"/>
    </row>
    <row r="254" ht="21.0" customHeight="1">
      <c r="H254" s="282"/>
    </row>
    <row r="255" ht="21.0" customHeight="1">
      <c r="H255" s="282"/>
    </row>
    <row r="256" ht="21.0" customHeight="1">
      <c r="H256" s="282"/>
    </row>
    <row r="257" ht="21.0" customHeight="1">
      <c r="H257" s="282"/>
    </row>
    <row r="258" ht="21.0" customHeight="1">
      <c r="H258" s="282"/>
    </row>
    <row r="259" ht="21.0" customHeight="1">
      <c r="H259" s="282"/>
    </row>
    <row r="260" ht="21.0" customHeight="1">
      <c r="H260" s="282"/>
    </row>
    <row r="261" ht="21.0" customHeight="1">
      <c r="H261" s="282"/>
    </row>
    <row r="262" ht="21.0" customHeight="1">
      <c r="H262" s="282"/>
    </row>
    <row r="263" ht="21.0" customHeight="1">
      <c r="H263" s="282"/>
    </row>
    <row r="264" ht="21.0" customHeight="1">
      <c r="H264" s="282"/>
    </row>
    <row r="265" ht="21.0" customHeight="1">
      <c r="H265" s="282"/>
    </row>
    <row r="266" ht="21.0" customHeight="1">
      <c r="H266" s="282"/>
    </row>
    <row r="267" ht="21.0" customHeight="1">
      <c r="H267" s="282"/>
    </row>
    <row r="268" ht="21.0" customHeight="1">
      <c r="H268" s="282"/>
    </row>
    <row r="269" ht="21.0" customHeight="1">
      <c r="H269" s="282"/>
    </row>
    <row r="270" ht="21.0" customHeight="1">
      <c r="H270" s="282"/>
    </row>
    <row r="271" ht="21.0" customHeight="1">
      <c r="H271" s="282"/>
    </row>
    <row r="272" ht="21.0" customHeight="1">
      <c r="H272" s="282"/>
    </row>
    <row r="273" ht="21.0" customHeight="1">
      <c r="H273" s="282"/>
    </row>
    <row r="274" ht="21.0" customHeight="1">
      <c r="H274" s="282"/>
    </row>
    <row r="275" ht="21.0" customHeight="1">
      <c r="H275" s="282"/>
    </row>
    <row r="276" ht="21.0" customHeight="1">
      <c r="H276" s="282"/>
    </row>
    <row r="277" ht="21.0" customHeight="1">
      <c r="H277" s="282"/>
    </row>
    <row r="278" ht="21.0" customHeight="1">
      <c r="H278" s="282"/>
    </row>
    <row r="279" ht="21.0" customHeight="1">
      <c r="H279" s="282"/>
    </row>
    <row r="280" ht="21.0" customHeight="1">
      <c r="H280" s="282"/>
    </row>
    <row r="281" ht="21.0" customHeight="1">
      <c r="H281" s="282"/>
    </row>
    <row r="282" ht="21.0" customHeight="1">
      <c r="H282" s="282"/>
    </row>
    <row r="283" ht="21.0" customHeight="1">
      <c r="H283" s="282"/>
    </row>
    <row r="284" ht="21.0" customHeight="1">
      <c r="H284" s="282"/>
    </row>
    <row r="285" ht="21.0" customHeight="1">
      <c r="H285" s="282"/>
    </row>
    <row r="286" ht="21.0" customHeight="1">
      <c r="H286" s="282"/>
    </row>
    <row r="287" ht="21.0" customHeight="1">
      <c r="H287" s="282"/>
    </row>
    <row r="288" ht="21.0" customHeight="1">
      <c r="H288" s="282"/>
    </row>
    <row r="289" ht="21.0" customHeight="1">
      <c r="H289" s="282"/>
    </row>
    <row r="290" ht="21.0" customHeight="1">
      <c r="H290" s="282"/>
    </row>
    <row r="291" ht="21.0" customHeight="1">
      <c r="H291" s="282"/>
    </row>
    <row r="292" ht="21.0" customHeight="1">
      <c r="H292" s="282"/>
    </row>
    <row r="293" ht="21.0" customHeight="1">
      <c r="H293" s="282"/>
    </row>
    <row r="294" ht="21.0" customHeight="1">
      <c r="H294" s="282"/>
    </row>
    <row r="295" ht="21.0" customHeight="1">
      <c r="H295" s="282"/>
    </row>
    <row r="296" ht="21.0" customHeight="1">
      <c r="H296" s="282"/>
    </row>
    <row r="297" ht="21.0" customHeight="1">
      <c r="H297" s="282"/>
    </row>
    <row r="298" ht="21.0" customHeight="1">
      <c r="H298" s="282"/>
    </row>
    <row r="299" ht="21.0" customHeight="1">
      <c r="H299" s="282"/>
    </row>
    <row r="300" ht="21.0" customHeight="1">
      <c r="H300" s="282"/>
    </row>
    <row r="301" ht="21.0" customHeight="1">
      <c r="H301" s="282"/>
    </row>
    <row r="302" ht="21.0" customHeight="1">
      <c r="H302" s="282"/>
    </row>
    <row r="303" ht="21.0" customHeight="1">
      <c r="H303" s="282"/>
    </row>
    <row r="304" ht="21.0" customHeight="1">
      <c r="H304" s="282"/>
    </row>
    <row r="305" ht="21.0" customHeight="1">
      <c r="H305" s="282"/>
    </row>
    <row r="306" ht="21.0" customHeight="1">
      <c r="H306" s="282"/>
    </row>
    <row r="307" ht="21.0" customHeight="1">
      <c r="H307" s="282"/>
    </row>
    <row r="308" ht="21.0" customHeight="1">
      <c r="H308" s="282"/>
    </row>
    <row r="309" ht="21.0" customHeight="1">
      <c r="H309" s="282"/>
    </row>
    <row r="310" ht="21.0" customHeight="1">
      <c r="H310" s="282"/>
    </row>
    <row r="311" ht="21.0" customHeight="1">
      <c r="H311" s="282"/>
    </row>
    <row r="312" ht="21.0" customHeight="1">
      <c r="H312" s="282"/>
    </row>
    <row r="313" ht="21.0" customHeight="1">
      <c r="H313" s="282"/>
    </row>
    <row r="314" ht="21.0" customHeight="1">
      <c r="H314" s="282"/>
    </row>
    <row r="315" ht="21.0" customHeight="1">
      <c r="H315" s="282"/>
    </row>
    <row r="316" ht="21.0" customHeight="1">
      <c r="H316" s="282"/>
    </row>
    <row r="317" ht="21.0" customHeight="1">
      <c r="H317" s="282"/>
    </row>
    <row r="318" ht="21.0" customHeight="1">
      <c r="H318" s="282"/>
    </row>
    <row r="319" ht="21.0" customHeight="1">
      <c r="H319" s="282"/>
    </row>
    <row r="320" ht="21.0" customHeight="1">
      <c r="H320" s="282"/>
    </row>
    <row r="321" ht="21.0" customHeight="1">
      <c r="H321" s="282"/>
    </row>
    <row r="322" ht="21.0" customHeight="1">
      <c r="H322" s="282"/>
    </row>
    <row r="323" ht="21.0" customHeight="1">
      <c r="H323" s="282"/>
    </row>
    <row r="324" ht="21.0" customHeight="1">
      <c r="H324" s="282"/>
    </row>
    <row r="325" ht="21.0" customHeight="1">
      <c r="H325" s="282"/>
    </row>
    <row r="326" ht="21.0" customHeight="1">
      <c r="H326" s="282"/>
    </row>
    <row r="327" ht="21.0" customHeight="1">
      <c r="H327" s="282"/>
    </row>
    <row r="328" ht="21.0" customHeight="1">
      <c r="H328" s="282"/>
    </row>
    <row r="329" ht="21.0" customHeight="1">
      <c r="H329" s="282"/>
    </row>
    <row r="330" ht="21.0" customHeight="1">
      <c r="H330" s="282"/>
    </row>
    <row r="331" ht="21.0" customHeight="1">
      <c r="H331" s="282"/>
    </row>
    <row r="332" ht="21.0" customHeight="1">
      <c r="H332" s="282"/>
    </row>
    <row r="333" ht="21.0" customHeight="1">
      <c r="H333" s="282"/>
    </row>
    <row r="334" ht="21.0" customHeight="1">
      <c r="H334" s="282"/>
    </row>
    <row r="335" ht="21.0" customHeight="1">
      <c r="H335" s="282"/>
    </row>
    <row r="336" ht="21.0" customHeight="1">
      <c r="H336" s="282"/>
    </row>
    <row r="337" ht="21.0" customHeight="1">
      <c r="H337" s="282"/>
    </row>
    <row r="338" ht="21.0" customHeight="1">
      <c r="H338" s="282"/>
    </row>
    <row r="339" ht="21.0" customHeight="1">
      <c r="H339" s="282"/>
    </row>
    <row r="340" ht="21.0" customHeight="1">
      <c r="H340" s="282"/>
    </row>
    <row r="341" ht="21.0" customHeight="1">
      <c r="H341" s="282"/>
    </row>
    <row r="342" ht="21.0" customHeight="1">
      <c r="H342" s="282"/>
    </row>
    <row r="343" ht="21.0" customHeight="1">
      <c r="H343" s="282"/>
    </row>
    <row r="344" ht="21.0" customHeight="1">
      <c r="H344" s="282"/>
    </row>
    <row r="345" ht="21.0" customHeight="1">
      <c r="H345" s="282"/>
    </row>
    <row r="346" ht="21.0" customHeight="1">
      <c r="H346" s="282"/>
    </row>
    <row r="347" ht="21.0" customHeight="1">
      <c r="H347" s="282"/>
    </row>
    <row r="348" ht="21.0" customHeight="1">
      <c r="H348" s="282"/>
    </row>
    <row r="349" ht="21.0" customHeight="1">
      <c r="H349" s="282"/>
    </row>
    <row r="350" ht="21.0" customHeight="1">
      <c r="H350" s="282"/>
    </row>
    <row r="351" ht="21.0" customHeight="1">
      <c r="H351" s="282"/>
    </row>
    <row r="352" ht="21.0" customHeight="1">
      <c r="H352" s="282"/>
    </row>
    <row r="353" ht="21.0" customHeight="1">
      <c r="H353" s="282"/>
    </row>
    <row r="354" ht="21.0" customHeight="1">
      <c r="H354" s="282"/>
    </row>
    <row r="355" ht="21.0" customHeight="1">
      <c r="H355" s="282"/>
    </row>
    <row r="356" ht="21.0" customHeight="1">
      <c r="H356" s="282"/>
    </row>
    <row r="357" ht="21.0" customHeight="1">
      <c r="H357" s="282"/>
    </row>
    <row r="358" ht="21.0" customHeight="1">
      <c r="H358" s="282"/>
    </row>
    <row r="359" ht="21.0" customHeight="1">
      <c r="H359" s="282"/>
    </row>
    <row r="360" ht="21.0" customHeight="1">
      <c r="H360" s="282"/>
    </row>
    <row r="361" ht="21.0" customHeight="1">
      <c r="H361" s="282"/>
    </row>
    <row r="362" ht="21.0" customHeight="1">
      <c r="H362" s="282"/>
    </row>
    <row r="363" ht="21.0" customHeight="1">
      <c r="H363" s="282"/>
    </row>
    <row r="364" ht="21.0" customHeight="1">
      <c r="H364" s="282"/>
    </row>
    <row r="365" ht="21.0" customHeight="1">
      <c r="H365" s="282"/>
    </row>
    <row r="366" ht="21.0" customHeight="1">
      <c r="H366" s="282"/>
    </row>
    <row r="367" ht="21.0" customHeight="1">
      <c r="H367" s="282"/>
    </row>
    <row r="368" ht="21.0" customHeight="1">
      <c r="H368" s="282"/>
    </row>
    <row r="369" ht="21.0" customHeight="1">
      <c r="H369" s="282"/>
    </row>
    <row r="370" ht="21.0" customHeight="1">
      <c r="H370" s="282"/>
    </row>
    <row r="371" ht="21.0" customHeight="1">
      <c r="H371" s="282"/>
    </row>
    <row r="372" ht="21.0" customHeight="1">
      <c r="H372" s="282"/>
    </row>
    <row r="373" ht="21.0" customHeight="1">
      <c r="H373" s="282"/>
    </row>
    <row r="374" ht="21.0" customHeight="1">
      <c r="H374" s="282"/>
    </row>
    <row r="375" ht="21.0" customHeight="1">
      <c r="H375" s="282"/>
    </row>
    <row r="376" ht="21.0" customHeight="1">
      <c r="H376" s="282"/>
    </row>
    <row r="377" ht="21.0" customHeight="1">
      <c r="H377" s="282"/>
    </row>
    <row r="378" ht="21.0" customHeight="1">
      <c r="H378" s="282"/>
    </row>
    <row r="379" ht="21.0" customHeight="1">
      <c r="H379" s="282"/>
    </row>
    <row r="380" ht="21.0" customHeight="1">
      <c r="H380" s="282"/>
    </row>
    <row r="381" ht="21.0" customHeight="1">
      <c r="H381" s="282"/>
    </row>
    <row r="382" ht="21.0" customHeight="1">
      <c r="H382" s="282"/>
    </row>
    <row r="383" ht="21.0" customHeight="1">
      <c r="H383" s="282"/>
    </row>
    <row r="384" ht="21.0" customHeight="1">
      <c r="H384" s="282"/>
    </row>
    <row r="385" ht="21.0" customHeight="1">
      <c r="H385" s="282"/>
    </row>
    <row r="386" ht="21.0" customHeight="1">
      <c r="H386" s="282"/>
    </row>
    <row r="387" ht="21.0" customHeight="1">
      <c r="H387" s="282"/>
    </row>
    <row r="388" ht="21.0" customHeight="1">
      <c r="H388" s="282"/>
    </row>
    <row r="389" ht="21.0" customHeight="1">
      <c r="H389" s="282"/>
    </row>
    <row r="390" ht="21.0" customHeight="1">
      <c r="H390" s="282"/>
    </row>
    <row r="391" ht="21.0" customHeight="1">
      <c r="H391" s="282"/>
    </row>
    <row r="392" ht="21.0" customHeight="1">
      <c r="H392" s="282"/>
    </row>
    <row r="393" ht="21.0" customHeight="1">
      <c r="H393" s="282"/>
    </row>
    <row r="394" ht="21.0" customHeight="1">
      <c r="H394" s="282"/>
    </row>
    <row r="395" ht="21.0" customHeight="1">
      <c r="H395" s="282"/>
    </row>
    <row r="396" ht="21.0" customHeight="1">
      <c r="H396" s="282"/>
    </row>
    <row r="397" ht="21.0" customHeight="1">
      <c r="H397" s="282"/>
    </row>
    <row r="398" ht="21.0" customHeight="1">
      <c r="H398" s="282"/>
    </row>
    <row r="399" ht="21.0" customHeight="1">
      <c r="H399" s="282"/>
    </row>
    <row r="400" ht="21.0" customHeight="1">
      <c r="H400" s="282"/>
    </row>
    <row r="401" ht="21.0" customHeight="1">
      <c r="H401" s="282"/>
    </row>
    <row r="402" ht="21.0" customHeight="1">
      <c r="H402" s="282"/>
    </row>
    <row r="403" ht="21.0" customHeight="1">
      <c r="H403" s="282"/>
    </row>
    <row r="404" ht="21.0" customHeight="1">
      <c r="H404" s="282"/>
    </row>
    <row r="405" ht="21.0" customHeight="1">
      <c r="H405" s="282"/>
    </row>
    <row r="406" ht="21.0" customHeight="1">
      <c r="H406" s="282"/>
    </row>
    <row r="407" ht="21.0" customHeight="1">
      <c r="H407" s="282"/>
    </row>
    <row r="408" ht="21.0" customHeight="1">
      <c r="H408" s="282"/>
    </row>
    <row r="409" ht="21.0" customHeight="1">
      <c r="H409" s="282"/>
    </row>
    <row r="410" ht="21.0" customHeight="1">
      <c r="H410" s="282"/>
    </row>
    <row r="411" ht="21.0" customHeight="1">
      <c r="H411" s="282"/>
    </row>
    <row r="412" ht="21.0" customHeight="1">
      <c r="H412" s="282"/>
    </row>
    <row r="413" ht="21.0" customHeight="1">
      <c r="H413" s="282"/>
    </row>
    <row r="414" ht="21.0" customHeight="1">
      <c r="H414" s="282"/>
    </row>
    <row r="415" ht="21.0" customHeight="1">
      <c r="H415" s="282"/>
    </row>
    <row r="416" ht="21.0" customHeight="1">
      <c r="H416" s="282"/>
    </row>
    <row r="417" ht="21.0" customHeight="1">
      <c r="H417" s="282"/>
    </row>
    <row r="418" ht="21.0" customHeight="1">
      <c r="H418" s="282"/>
    </row>
    <row r="419" ht="21.0" customHeight="1">
      <c r="H419" s="282"/>
    </row>
    <row r="420" ht="21.0" customHeight="1">
      <c r="H420" s="282"/>
    </row>
    <row r="421" ht="21.0" customHeight="1">
      <c r="H421" s="282"/>
    </row>
    <row r="422" ht="21.0" customHeight="1">
      <c r="H422" s="282"/>
    </row>
    <row r="423" ht="21.0" customHeight="1">
      <c r="H423" s="282"/>
    </row>
    <row r="424" ht="21.0" customHeight="1">
      <c r="H424" s="282"/>
    </row>
    <row r="425" ht="21.0" customHeight="1">
      <c r="H425" s="282"/>
    </row>
    <row r="426" ht="21.0" customHeight="1">
      <c r="H426" s="282"/>
    </row>
    <row r="427" ht="21.0" customHeight="1">
      <c r="H427" s="282"/>
    </row>
    <row r="428" ht="21.0" customHeight="1">
      <c r="H428" s="282"/>
    </row>
    <row r="429" ht="21.0" customHeight="1">
      <c r="H429" s="282"/>
    </row>
    <row r="430" ht="21.0" customHeight="1">
      <c r="H430" s="282"/>
    </row>
    <row r="431" ht="21.0" customHeight="1">
      <c r="H431" s="282"/>
    </row>
    <row r="432" ht="21.0" customHeight="1">
      <c r="H432" s="282"/>
    </row>
    <row r="433" ht="21.0" customHeight="1">
      <c r="H433" s="282"/>
    </row>
    <row r="434" ht="21.0" customHeight="1">
      <c r="H434" s="282"/>
    </row>
    <row r="435" ht="21.0" customHeight="1">
      <c r="H435" s="282"/>
    </row>
    <row r="436" ht="21.0" customHeight="1">
      <c r="H436" s="282"/>
    </row>
    <row r="437" ht="21.0" customHeight="1">
      <c r="H437" s="282"/>
    </row>
    <row r="438" ht="21.0" customHeight="1">
      <c r="H438" s="282"/>
    </row>
    <row r="439" ht="21.0" customHeight="1">
      <c r="H439" s="282"/>
    </row>
    <row r="440" ht="21.0" customHeight="1">
      <c r="H440" s="282"/>
    </row>
    <row r="441" ht="21.0" customHeight="1">
      <c r="H441" s="282"/>
    </row>
    <row r="442" ht="21.0" customHeight="1">
      <c r="H442" s="282"/>
    </row>
    <row r="443" ht="21.0" customHeight="1">
      <c r="H443" s="282"/>
    </row>
    <row r="444" ht="21.0" customHeight="1">
      <c r="H444" s="282"/>
    </row>
    <row r="445" ht="21.0" customHeight="1">
      <c r="H445" s="282"/>
    </row>
    <row r="446" ht="21.0" customHeight="1">
      <c r="H446" s="282"/>
    </row>
    <row r="447" ht="21.0" customHeight="1">
      <c r="H447" s="282"/>
    </row>
    <row r="448" ht="21.0" customHeight="1">
      <c r="H448" s="282"/>
    </row>
    <row r="449" ht="21.0" customHeight="1">
      <c r="H449" s="282"/>
    </row>
    <row r="450" ht="21.0" customHeight="1">
      <c r="H450" s="282"/>
    </row>
    <row r="451" ht="21.0" customHeight="1">
      <c r="H451" s="282"/>
    </row>
    <row r="452" ht="21.0" customHeight="1">
      <c r="H452" s="282"/>
    </row>
    <row r="453" ht="21.0" customHeight="1">
      <c r="H453" s="282"/>
    </row>
    <row r="454" ht="21.0" customHeight="1">
      <c r="H454" s="282"/>
    </row>
    <row r="455" ht="21.0" customHeight="1">
      <c r="H455" s="282"/>
    </row>
    <row r="456" ht="21.0" customHeight="1">
      <c r="H456" s="282"/>
    </row>
    <row r="457" ht="21.0" customHeight="1">
      <c r="H457" s="282"/>
    </row>
    <row r="458" ht="21.0" customHeight="1">
      <c r="H458" s="282"/>
    </row>
    <row r="459" ht="21.0" customHeight="1">
      <c r="H459" s="282"/>
    </row>
    <row r="460" ht="21.0" customHeight="1">
      <c r="H460" s="282"/>
    </row>
    <row r="461" ht="21.0" customHeight="1">
      <c r="H461" s="282"/>
    </row>
    <row r="462" ht="21.0" customHeight="1">
      <c r="H462" s="282"/>
    </row>
    <row r="463" ht="21.0" customHeight="1">
      <c r="H463" s="282"/>
    </row>
    <row r="464" ht="21.0" customHeight="1">
      <c r="H464" s="282"/>
    </row>
    <row r="465" ht="21.0" customHeight="1">
      <c r="H465" s="282"/>
    </row>
    <row r="466" ht="21.0" customHeight="1">
      <c r="H466" s="282"/>
    </row>
    <row r="467" ht="21.0" customHeight="1">
      <c r="H467" s="282"/>
    </row>
    <row r="468" ht="21.0" customHeight="1">
      <c r="H468" s="282"/>
    </row>
    <row r="469" ht="21.0" customHeight="1">
      <c r="H469" s="282"/>
    </row>
    <row r="470" ht="21.0" customHeight="1">
      <c r="H470" s="282"/>
    </row>
    <row r="471" ht="21.0" customHeight="1">
      <c r="H471" s="282"/>
    </row>
    <row r="472" ht="21.0" customHeight="1">
      <c r="H472" s="282"/>
    </row>
    <row r="473" ht="21.0" customHeight="1">
      <c r="H473" s="282"/>
    </row>
    <row r="474" ht="21.0" customHeight="1">
      <c r="H474" s="282"/>
    </row>
    <row r="475" ht="21.0" customHeight="1">
      <c r="H475" s="282"/>
    </row>
    <row r="476" ht="21.0" customHeight="1">
      <c r="H476" s="282"/>
    </row>
    <row r="477" ht="21.0" customHeight="1">
      <c r="H477" s="282"/>
    </row>
    <row r="478" ht="21.0" customHeight="1">
      <c r="H478" s="282"/>
    </row>
    <row r="479" ht="21.0" customHeight="1">
      <c r="H479" s="282"/>
    </row>
    <row r="480" ht="21.0" customHeight="1">
      <c r="H480" s="282"/>
    </row>
    <row r="481" ht="21.0" customHeight="1">
      <c r="H481" s="282"/>
    </row>
    <row r="482" ht="21.0" customHeight="1">
      <c r="H482" s="282"/>
    </row>
    <row r="483" ht="21.0" customHeight="1">
      <c r="H483" s="282"/>
    </row>
    <row r="484" ht="21.0" customHeight="1">
      <c r="H484" s="282"/>
    </row>
    <row r="485" ht="21.0" customHeight="1">
      <c r="H485" s="282"/>
    </row>
    <row r="486" ht="21.0" customHeight="1">
      <c r="H486" s="282"/>
    </row>
    <row r="487" ht="21.0" customHeight="1">
      <c r="H487" s="282"/>
    </row>
    <row r="488" ht="21.0" customHeight="1">
      <c r="H488" s="282"/>
    </row>
    <row r="489" ht="21.0" customHeight="1">
      <c r="H489" s="282"/>
    </row>
    <row r="490" ht="21.0" customHeight="1">
      <c r="H490" s="282"/>
    </row>
    <row r="491" ht="21.0" customHeight="1">
      <c r="H491" s="282"/>
    </row>
    <row r="492" ht="21.0" customHeight="1">
      <c r="H492" s="282"/>
    </row>
    <row r="493" ht="21.0" customHeight="1">
      <c r="H493" s="282"/>
    </row>
    <row r="494" ht="21.0" customHeight="1">
      <c r="H494" s="282"/>
    </row>
    <row r="495" ht="21.0" customHeight="1">
      <c r="H495" s="282"/>
    </row>
    <row r="496" ht="21.0" customHeight="1">
      <c r="H496" s="282"/>
    </row>
    <row r="497" ht="21.0" customHeight="1">
      <c r="H497" s="282"/>
    </row>
    <row r="498" ht="21.0" customHeight="1">
      <c r="H498" s="282"/>
    </row>
    <row r="499" ht="21.0" customHeight="1">
      <c r="H499" s="282"/>
    </row>
    <row r="500" ht="21.0" customHeight="1">
      <c r="H500" s="282"/>
    </row>
    <row r="501" ht="21.0" customHeight="1">
      <c r="H501" s="282"/>
    </row>
    <row r="502" ht="21.0" customHeight="1">
      <c r="H502" s="282"/>
    </row>
    <row r="503" ht="21.0" customHeight="1">
      <c r="H503" s="282"/>
    </row>
    <row r="504" ht="21.0" customHeight="1">
      <c r="H504" s="282"/>
    </row>
    <row r="505" ht="21.0" customHeight="1">
      <c r="H505" s="282"/>
    </row>
    <row r="506" ht="21.0" customHeight="1">
      <c r="H506" s="282"/>
    </row>
    <row r="507" ht="21.0" customHeight="1">
      <c r="H507" s="282"/>
    </row>
    <row r="508" ht="21.0" customHeight="1">
      <c r="H508" s="282"/>
    </row>
    <row r="509" ht="21.0" customHeight="1">
      <c r="H509" s="282"/>
    </row>
    <row r="510" ht="21.0" customHeight="1">
      <c r="H510" s="282"/>
    </row>
    <row r="511" ht="21.0" customHeight="1">
      <c r="H511" s="282"/>
    </row>
    <row r="512" ht="21.0" customHeight="1">
      <c r="H512" s="282"/>
    </row>
    <row r="513" ht="21.0" customHeight="1">
      <c r="H513" s="282"/>
    </row>
    <row r="514" ht="21.0" customHeight="1">
      <c r="H514" s="282"/>
    </row>
    <row r="515" ht="21.0" customHeight="1">
      <c r="H515" s="282"/>
    </row>
    <row r="516" ht="21.0" customHeight="1">
      <c r="H516" s="282"/>
    </row>
    <row r="517" ht="21.0" customHeight="1">
      <c r="H517" s="282"/>
    </row>
    <row r="518" ht="21.0" customHeight="1">
      <c r="H518" s="282"/>
    </row>
    <row r="519" ht="21.0" customHeight="1">
      <c r="H519" s="282"/>
    </row>
    <row r="520" ht="21.0" customHeight="1">
      <c r="H520" s="282"/>
    </row>
    <row r="521" ht="21.0" customHeight="1">
      <c r="H521" s="282"/>
    </row>
    <row r="522" ht="21.0" customHeight="1">
      <c r="H522" s="282"/>
    </row>
    <row r="523" ht="21.0" customHeight="1">
      <c r="H523" s="282"/>
    </row>
    <row r="524" ht="21.0" customHeight="1">
      <c r="H524" s="282"/>
    </row>
    <row r="525" ht="21.0" customHeight="1">
      <c r="H525" s="282"/>
    </row>
    <row r="526" ht="21.0" customHeight="1">
      <c r="H526" s="282"/>
    </row>
    <row r="527" ht="21.0" customHeight="1">
      <c r="H527" s="282"/>
    </row>
    <row r="528" ht="21.0" customHeight="1">
      <c r="H528" s="282"/>
    </row>
    <row r="529" ht="21.0" customHeight="1">
      <c r="H529" s="282"/>
    </row>
    <row r="530" ht="21.0" customHeight="1">
      <c r="H530" s="282"/>
    </row>
    <row r="531" ht="21.0" customHeight="1">
      <c r="H531" s="282"/>
    </row>
    <row r="532" ht="21.0" customHeight="1">
      <c r="H532" s="282"/>
    </row>
    <row r="533" ht="21.0" customHeight="1">
      <c r="H533" s="282"/>
    </row>
    <row r="534" ht="21.0" customHeight="1">
      <c r="H534" s="282"/>
    </row>
    <row r="535" ht="21.0" customHeight="1">
      <c r="H535" s="282"/>
    </row>
    <row r="536" ht="21.0" customHeight="1">
      <c r="H536" s="282"/>
    </row>
    <row r="537" ht="21.0" customHeight="1">
      <c r="H537" s="282"/>
    </row>
    <row r="538" ht="21.0" customHeight="1">
      <c r="H538" s="282"/>
    </row>
    <row r="539" ht="21.0" customHeight="1">
      <c r="H539" s="282"/>
    </row>
    <row r="540" ht="21.0" customHeight="1">
      <c r="H540" s="282"/>
    </row>
    <row r="541" ht="21.0" customHeight="1">
      <c r="H541" s="282"/>
    </row>
    <row r="542" ht="21.0" customHeight="1">
      <c r="H542" s="282"/>
    </row>
    <row r="543" ht="21.0" customHeight="1">
      <c r="H543" s="282"/>
    </row>
    <row r="544" ht="21.0" customHeight="1">
      <c r="H544" s="282"/>
    </row>
    <row r="545" ht="21.0" customHeight="1">
      <c r="H545" s="282"/>
    </row>
    <row r="546" ht="21.0" customHeight="1">
      <c r="H546" s="282"/>
    </row>
    <row r="547" ht="21.0" customHeight="1">
      <c r="H547" s="282"/>
    </row>
    <row r="548" ht="21.0" customHeight="1">
      <c r="H548" s="282"/>
    </row>
    <row r="549" ht="21.0" customHeight="1">
      <c r="H549" s="282"/>
    </row>
    <row r="550" ht="21.0" customHeight="1">
      <c r="H550" s="282"/>
    </row>
    <row r="551" ht="21.0" customHeight="1">
      <c r="H551" s="282"/>
    </row>
    <row r="552" ht="21.0" customHeight="1">
      <c r="H552" s="282"/>
    </row>
    <row r="553" ht="21.0" customHeight="1">
      <c r="H553" s="282"/>
    </row>
    <row r="554" ht="21.0" customHeight="1">
      <c r="H554" s="282"/>
    </row>
    <row r="555" ht="21.0" customHeight="1">
      <c r="H555" s="282"/>
    </row>
    <row r="556" ht="21.0" customHeight="1">
      <c r="H556" s="282"/>
    </row>
    <row r="557" ht="21.0" customHeight="1">
      <c r="H557" s="282"/>
    </row>
    <row r="558" ht="21.0" customHeight="1">
      <c r="H558" s="282"/>
    </row>
    <row r="559" ht="21.0" customHeight="1">
      <c r="H559" s="282"/>
    </row>
    <row r="560" ht="21.0" customHeight="1">
      <c r="H560" s="282"/>
    </row>
    <row r="561" ht="21.0" customHeight="1">
      <c r="H561" s="282"/>
    </row>
    <row r="562" ht="21.0" customHeight="1">
      <c r="H562" s="282"/>
    </row>
    <row r="563" ht="21.0" customHeight="1">
      <c r="H563" s="282"/>
    </row>
    <row r="564" ht="21.0" customHeight="1">
      <c r="H564" s="282"/>
    </row>
    <row r="565" ht="21.0" customHeight="1">
      <c r="H565" s="282"/>
    </row>
    <row r="566" ht="21.0" customHeight="1">
      <c r="H566" s="282"/>
    </row>
    <row r="567" ht="21.0" customHeight="1">
      <c r="H567" s="282"/>
    </row>
    <row r="568" ht="21.0" customHeight="1">
      <c r="H568" s="282"/>
    </row>
    <row r="569" ht="21.0" customHeight="1">
      <c r="H569" s="282"/>
    </row>
    <row r="570" ht="21.0" customHeight="1">
      <c r="H570" s="282"/>
    </row>
    <row r="571" ht="21.0" customHeight="1">
      <c r="H571" s="282"/>
    </row>
    <row r="572" ht="21.0" customHeight="1">
      <c r="H572" s="282"/>
    </row>
    <row r="573" ht="21.0" customHeight="1">
      <c r="H573" s="282"/>
    </row>
    <row r="574" ht="21.0" customHeight="1">
      <c r="H574" s="282"/>
    </row>
    <row r="575" ht="21.0" customHeight="1">
      <c r="H575" s="282"/>
    </row>
    <row r="576" ht="21.0" customHeight="1">
      <c r="H576" s="282"/>
    </row>
    <row r="577" ht="21.0" customHeight="1">
      <c r="H577" s="282"/>
    </row>
    <row r="578" ht="21.0" customHeight="1">
      <c r="H578" s="282"/>
    </row>
    <row r="579" ht="21.0" customHeight="1">
      <c r="H579" s="282"/>
    </row>
    <row r="580" ht="21.0" customHeight="1">
      <c r="H580" s="282"/>
    </row>
    <row r="581" ht="21.0" customHeight="1">
      <c r="H581" s="282"/>
    </row>
    <row r="582" ht="21.0" customHeight="1">
      <c r="H582" s="282"/>
    </row>
    <row r="583" ht="21.0" customHeight="1">
      <c r="H583" s="282"/>
    </row>
    <row r="584" ht="21.0" customHeight="1">
      <c r="H584" s="282"/>
    </row>
    <row r="585" ht="21.0" customHeight="1">
      <c r="H585" s="282"/>
    </row>
    <row r="586" ht="21.0" customHeight="1">
      <c r="H586" s="282"/>
    </row>
    <row r="587" ht="21.0" customHeight="1">
      <c r="H587" s="282"/>
    </row>
    <row r="588" ht="21.0" customHeight="1">
      <c r="H588" s="282"/>
    </row>
    <row r="589" ht="21.0" customHeight="1">
      <c r="H589" s="282"/>
    </row>
    <row r="590" ht="21.0" customHeight="1">
      <c r="H590" s="282"/>
    </row>
    <row r="591" ht="21.0" customHeight="1">
      <c r="H591" s="282"/>
    </row>
    <row r="592" ht="21.0" customHeight="1">
      <c r="H592" s="282"/>
    </row>
    <row r="593" ht="21.0" customHeight="1">
      <c r="H593" s="282"/>
    </row>
    <row r="594" ht="21.0" customHeight="1">
      <c r="H594" s="282"/>
    </row>
    <row r="595" ht="21.0" customHeight="1">
      <c r="H595" s="282"/>
    </row>
    <row r="596" ht="21.0" customHeight="1">
      <c r="H596" s="282"/>
    </row>
    <row r="597" ht="21.0" customHeight="1">
      <c r="H597" s="282"/>
    </row>
    <row r="598" ht="21.0" customHeight="1">
      <c r="H598" s="282"/>
    </row>
    <row r="599" ht="21.0" customHeight="1">
      <c r="H599" s="282"/>
    </row>
    <row r="600" ht="21.0" customHeight="1">
      <c r="H600" s="282"/>
    </row>
    <row r="601" ht="21.0" customHeight="1">
      <c r="H601" s="282"/>
    </row>
    <row r="602" ht="21.0" customHeight="1">
      <c r="H602" s="282"/>
    </row>
    <row r="603" ht="21.0" customHeight="1">
      <c r="H603" s="282"/>
    </row>
    <row r="604" ht="21.0" customHeight="1">
      <c r="H604" s="282"/>
    </row>
    <row r="605" ht="21.0" customHeight="1">
      <c r="H605" s="282"/>
    </row>
    <row r="606" ht="21.0" customHeight="1">
      <c r="H606" s="282"/>
    </row>
    <row r="607" ht="21.0" customHeight="1">
      <c r="H607" s="282"/>
    </row>
    <row r="608" ht="21.0" customHeight="1">
      <c r="H608" s="282"/>
    </row>
    <row r="609" ht="21.0" customHeight="1">
      <c r="H609" s="282"/>
    </row>
    <row r="610" ht="21.0" customHeight="1">
      <c r="H610" s="282"/>
    </row>
    <row r="611" ht="21.0" customHeight="1">
      <c r="H611" s="282"/>
    </row>
    <row r="612" ht="21.0" customHeight="1">
      <c r="H612" s="282"/>
    </row>
    <row r="613" ht="21.0" customHeight="1">
      <c r="H613" s="282"/>
    </row>
    <row r="614" ht="21.0" customHeight="1">
      <c r="H614" s="282"/>
    </row>
    <row r="615" ht="21.0" customHeight="1">
      <c r="H615" s="282"/>
    </row>
    <row r="616" ht="21.0" customHeight="1">
      <c r="H616" s="282"/>
    </row>
    <row r="617" ht="21.0" customHeight="1">
      <c r="H617" s="282"/>
    </row>
    <row r="618" ht="21.0" customHeight="1">
      <c r="H618" s="282"/>
    </row>
    <row r="619" ht="21.0" customHeight="1">
      <c r="H619" s="282"/>
    </row>
    <row r="620" ht="21.0" customHeight="1">
      <c r="H620" s="282"/>
    </row>
    <row r="621" ht="21.0" customHeight="1">
      <c r="H621" s="282"/>
    </row>
    <row r="622" ht="21.0" customHeight="1">
      <c r="H622" s="282"/>
    </row>
    <row r="623" ht="21.0" customHeight="1">
      <c r="H623" s="282"/>
    </row>
    <row r="624" ht="21.0" customHeight="1">
      <c r="H624" s="282"/>
    </row>
    <row r="625" ht="21.0" customHeight="1">
      <c r="H625" s="282"/>
    </row>
    <row r="626" ht="21.0" customHeight="1">
      <c r="H626" s="282"/>
    </row>
    <row r="627" ht="21.0" customHeight="1">
      <c r="H627" s="282"/>
    </row>
    <row r="628" ht="21.0" customHeight="1">
      <c r="H628" s="282"/>
    </row>
    <row r="629" ht="21.0" customHeight="1">
      <c r="H629" s="282"/>
    </row>
    <row r="630" ht="21.0" customHeight="1">
      <c r="H630" s="282"/>
    </row>
    <row r="631" ht="21.0" customHeight="1">
      <c r="H631" s="282"/>
    </row>
    <row r="632" ht="21.0" customHeight="1">
      <c r="H632" s="282"/>
    </row>
    <row r="633" ht="21.0" customHeight="1">
      <c r="H633" s="282"/>
    </row>
    <row r="634" ht="21.0" customHeight="1">
      <c r="H634" s="282"/>
    </row>
    <row r="635" ht="21.0" customHeight="1">
      <c r="H635" s="282"/>
    </row>
    <row r="636" ht="21.0" customHeight="1">
      <c r="H636" s="282"/>
    </row>
    <row r="637" ht="21.0" customHeight="1">
      <c r="H637" s="282"/>
    </row>
    <row r="638" ht="21.0" customHeight="1">
      <c r="H638" s="282"/>
    </row>
    <row r="639" ht="21.0" customHeight="1">
      <c r="H639" s="282"/>
    </row>
    <row r="640" ht="21.0" customHeight="1">
      <c r="H640" s="282"/>
    </row>
    <row r="641" ht="21.0" customHeight="1">
      <c r="H641" s="282"/>
    </row>
    <row r="642" ht="21.0" customHeight="1">
      <c r="H642" s="282"/>
    </row>
    <row r="643" ht="21.0" customHeight="1">
      <c r="H643" s="282"/>
    </row>
    <row r="644" ht="21.0" customHeight="1">
      <c r="H644" s="282"/>
    </row>
    <row r="645" ht="21.0" customHeight="1">
      <c r="H645" s="282"/>
    </row>
    <row r="646" ht="21.0" customHeight="1">
      <c r="H646" s="282"/>
    </row>
    <row r="647" ht="21.0" customHeight="1">
      <c r="H647" s="282"/>
    </row>
    <row r="648" ht="21.0" customHeight="1">
      <c r="H648" s="282"/>
    </row>
    <row r="649" ht="21.0" customHeight="1">
      <c r="H649" s="282"/>
    </row>
    <row r="650" ht="21.0" customHeight="1">
      <c r="H650" s="282"/>
    </row>
    <row r="651" ht="21.0" customHeight="1">
      <c r="H651" s="282"/>
    </row>
    <row r="652" ht="21.0" customHeight="1">
      <c r="H652" s="282"/>
    </row>
    <row r="653" ht="21.0" customHeight="1">
      <c r="H653" s="282"/>
    </row>
    <row r="654" ht="21.0" customHeight="1">
      <c r="H654" s="282"/>
    </row>
    <row r="655" ht="21.0" customHeight="1">
      <c r="H655" s="282"/>
    </row>
    <row r="656" ht="21.0" customHeight="1">
      <c r="H656" s="282"/>
    </row>
    <row r="657" ht="21.0" customHeight="1">
      <c r="H657" s="282"/>
    </row>
    <row r="658" ht="21.0" customHeight="1">
      <c r="H658" s="282"/>
    </row>
    <row r="659" ht="21.0" customHeight="1">
      <c r="H659" s="282"/>
    </row>
    <row r="660" ht="21.0" customHeight="1">
      <c r="H660" s="282"/>
    </row>
    <row r="661" ht="21.0" customHeight="1">
      <c r="H661" s="282"/>
    </row>
    <row r="662" ht="21.0" customHeight="1">
      <c r="H662" s="282"/>
    </row>
    <row r="663" ht="21.0" customHeight="1">
      <c r="H663" s="282"/>
    </row>
    <row r="664" ht="21.0" customHeight="1">
      <c r="H664" s="282"/>
    </row>
    <row r="665" ht="21.0" customHeight="1">
      <c r="H665" s="282"/>
    </row>
    <row r="666" ht="21.0" customHeight="1">
      <c r="H666" s="282"/>
    </row>
    <row r="667" ht="21.0" customHeight="1">
      <c r="H667" s="282"/>
    </row>
    <row r="668" ht="21.0" customHeight="1">
      <c r="H668" s="282"/>
    </row>
    <row r="669" ht="21.0" customHeight="1">
      <c r="H669" s="282"/>
    </row>
    <row r="670" ht="21.0" customHeight="1">
      <c r="H670" s="282"/>
    </row>
    <row r="671" ht="21.0" customHeight="1">
      <c r="H671" s="282"/>
    </row>
    <row r="672" ht="21.0" customHeight="1">
      <c r="H672" s="282"/>
    </row>
    <row r="673" ht="21.0" customHeight="1">
      <c r="H673" s="282"/>
    </row>
    <row r="674" ht="21.0" customHeight="1">
      <c r="H674" s="282"/>
    </row>
    <row r="675" ht="21.0" customHeight="1">
      <c r="H675" s="282"/>
    </row>
    <row r="676" ht="21.0" customHeight="1">
      <c r="H676" s="282"/>
    </row>
    <row r="677" ht="21.0" customHeight="1">
      <c r="H677" s="282"/>
    </row>
    <row r="678" ht="21.0" customHeight="1">
      <c r="H678" s="282"/>
    </row>
    <row r="679" ht="21.0" customHeight="1">
      <c r="H679" s="282"/>
    </row>
    <row r="680" ht="21.0" customHeight="1">
      <c r="H680" s="282"/>
    </row>
    <row r="681" ht="21.0" customHeight="1">
      <c r="H681" s="282"/>
    </row>
    <row r="682" ht="21.0" customHeight="1">
      <c r="H682" s="282"/>
    </row>
    <row r="683" ht="21.0" customHeight="1">
      <c r="H683" s="282"/>
    </row>
    <row r="684" ht="21.0" customHeight="1">
      <c r="H684" s="282"/>
    </row>
    <row r="685" ht="21.0" customHeight="1">
      <c r="H685" s="282"/>
    </row>
    <row r="686" ht="21.0" customHeight="1">
      <c r="H686" s="282"/>
    </row>
    <row r="687" ht="21.0" customHeight="1">
      <c r="H687" s="282"/>
    </row>
    <row r="688" ht="21.0" customHeight="1">
      <c r="H688" s="282"/>
    </row>
    <row r="689" ht="21.0" customHeight="1">
      <c r="H689" s="282"/>
    </row>
    <row r="690" ht="21.0" customHeight="1">
      <c r="H690" s="282"/>
    </row>
    <row r="691" ht="21.0" customHeight="1">
      <c r="H691" s="282"/>
    </row>
    <row r="692" ht="21.0" customHeight="1">
      <c r="H692" s="282"/>
    </row>
    <row r="693" ht="21.0" customHeight="1">
      <c r="H693" s="282"/>
    </row>
    <row r="694" ht="21.0" customHeight="1">
      <c r="H694" s="282"/>
    </row>
    <row r="695" ht="21.0" customHeight="1">
      <c r="H695" s="282"/>
    </row>
    <row r="696" ht="21.0" customHeight="1">
      <c r="H696" s="282"/>
    </row>
    <row r="697" ht="21.0" customHeight="1">
      <c r="H697" s="282"/>
    </row>
    <row r="698" ht="21.0" customHeight="1">
      <c r="H698" s="282"/>
    </row>
    <row r="699" ht="21.0" customHeight="1">
      <c r="H699" s="282"/>
    </row>
    <row r="700" ht="21.0" customHeight="1">
      <c r="H700" s="282"/>
    </row>
    <row r="701" ht="21.0" customHeight="1">
      <c r="H701" s="282"/>
    </row>
    <row r="702" ht="21.0" customHeight="1">
      <c r="H702" s="282"/>
    </row>
    <row r="703" ht="21.0" customHeight="1">
      <c r="H703" s="282"/>
    </row>
    <row r="704" ht="21.0" customHeight="1">
      <c r="H704" s="282"/>
    </row>
    <row r="705" ht="21.0" customHeight="1">
      <c r="H705" s="282"/>
    </row>
    <row r="706" ht="21.0" customHeight="1">
      <c r="H706" s="282"/>
    </row>
    <row r="707" ht="21.0" customHeight="1">
      <c r="H707" s="282"/>
    </row>
    <row r="708" ht="21.0" customHeight="1">
      <c r="H708" s="282"/>
    </row>
    <row r="709" ht="21.0" customHeight="1">
      <c r="H709" s="282"/>
    </row>
    <row r="710" ht="21.0" customHeight="1">
      <c r="H710" s="282"/>
    </row>
    <row r="711" ht="21.0" customHeight="1">
      <c r="H711" s="282"/>
    </row>
    <row r="712" ht="21.0" customHeight="1">
      <c r="H712" s="282"/>
    </row>
    <row r="713" ht="21.0" customHeight="1">
      <c r="H713" s="282"/>
    </row>
    <row r="714" ht="21.0" customHeight="1">
      <c r="H714" s="282"/>
    </row>
    <row r="715" ht="21.0" customHeight="1">
      <c r="H715" s="282"/>
    </row>
    <row r="716" ht="21.0" customHeight="1">
      <c r="H716" s="282"/>
    </row>
    <row r="717" ht="21.0" customHeight="1">
      <c r="H717" s="282"/>
    </row>
    <row r="718" ht="21.0" customHeight="1">
      <c r="H718" s="282"/>
    </row>
    <row r="719" ht="21.0" customHeight="1">
      <c r="H719" s="282"/>
    </row>
    <row r="720" ht="21.0" customHeight="1">
      <c r="H720" s="282"/>
    </row>
    <row r="721" ht="21.0" customHeight="1">
      <c r="H721" s="282"/>
    </row>
    <row r="722" ht="21.0" customHeight="1">
      <c r="H722" s="282"/>
    </row>
    <row r="723" ht="21.0" customHeight="1">
      <c r="H723" s="282"/>
    </row>
    <row r="724" ht="21.0" customHeight="1">
      <c r="H724" s="282"/>
    </row>
    <row r="725" ht="21.0" customHeight="1">
      <c r="H725" s="282"/>
    </row>
    <row r="726" ht="21.0" customHeight="1">
      <c r="H726" s="282"/>
    </row>
    <row r="727" ht="21.0" customHeight="1">
      <c r="H727" s="282"/>
    </row>
    <row r="728" ht="21.0" customHeight="1">
      <c r="H728" s="282"/>
    </row>
    <row r="729" ht="21.0" customHeight="1">
      <c r="H729" s="282"/>
    </row>
    <row r="730" ht="21.0" customHeight="1">
      <c r="H730" s="282"/>
    </row>
    <row r="731" ht="21.0" customHeight="1">
      <c r="H731" s="282"/>
    </row>
    <row r="732" ht="21.0" customHeight="1">
      <c r="H732" s="282"/>
    </row>
    <row r="733" ht="21.0" customHeight="1">
      <c r="H733" s="282"/>
    </row>
    <row r="734" ht="21.0" customHeight="1">
      <c r="H734" s="282"/>
    </row>
    <row r="735" ht="21.0" customHeight="1">
      <c r="H735" s="282"/>
    </row>
    <row r="736" ht="21.0" customHeight="1">
      <c r="H736" s="282"/>
    </row>
    <row r="737" ht="21.0" customHeight="1">
      <c r="H737" s="282"/>
    </row>
    <row r="738" ht="21.0" customHeight="1">
      <c r="H738" s="282"/>
    </row>
    <row r="739" ht="21.0" customHeight="1">
      <c r="H739" s="282"/>
    </row>
    <row r="740" ht="21.0" customHeight="1">
      <c r="H740" s="282"/>
    </row>
    <row r="741" ht="21.0" customHeight="1">
      <c r="H741" s="282"/>
    </row>
    <row r="742" ht="21.0" customHeight="1">
      <c r="H742" s="282"/>
    </row>
    <row r="743" ht="21.0" customHeight="1">
      <c r="H743" s="282"/>
    </row>
    <row r="744" ht="21.0" customHeight="1">
      <c r="H744" s="282"/>
    </row>
    <row r="745" ht="21.0" customHeight="1">
      <c r="H745" s="282"/>
    </row>
    <row r="746" ht="21.0" customHeight="1">
      <c r="H746" s="282"/>
    </row>
    <row r="747" ht="21.0" customHeight="1">
      <c r="H747" s="282"/>
    </row>
    <row r="748" ht="21.0" customHeight="1">
      <c r="H748" s="282"/>
    </row>
    <row r="749" ht="21.0" customHeight="1">
      <c r="H749" s="282"/>
    </row>
    <row r="750" ht="21.0" customHeight="1">
      <c r="H750" s="282"/>
    </row>
    <row r="751" ht="21.0" customHeight="1">
      <c r="H751" s="282"/>
    </row>
    <row r="752" ht="21.0" customHeight="1">
      <c r="H752" s="282"/>
    </row>
    <row r="753" ht="21.0" customHeight="1">
      <c r="H753" s="282"/>
    </row>
    <row r="754" ht="21.0" customHeight="1">
      <c r="H754" s="282"/>
    </row>
    <row r="755" ht="21.0" customHeight="1">
      <c r="H755" s="282"/>
    </row>
    <row r="756" ht="21.0" customHeight="1">
      <c r="H756" s="282"/>
    </row>
    <row r="757" ht="21.0" customHeight="1">
      <c r="H757" s="282"/>
    </row>
    <row r="758" ht="21.0" customHeight="1">
      <c r="H758" s="282"/>
    </row>
    <row r="759" ht="21.0" customHeight="1">
      <c r="H759" s="282"/>
    </row>
    <row r="760" ht="21.0" customHeight="1">
      <c r="H760" s="282"/>
    </row>
    <row r="761" ht="21.0" customHeight="1">
      <c r="H761" s="282"/>
    </row>
    <row r="762" ht="21.0" customHeight="1">
      <c r="H762" s="282"/>
    </row>
    <row r="763" ht="21.0" customHeight="1">
      <c r="H763" s="282"/>
    </row>
    <row r="764" ht="21.0" customHeight="1">
      <c r="H764" s="282"/>
    </row>
    <row r="765" ht="21.0" customHeight="1">
      <c r="H765" s="282"/>
    </row>
    <row r="766" ht="21.0" customHeight="1">
      <c r="H766" s="282"/>
    </row>
    <row r="767" ht="21.0" customHeight="1">
      <c r="H767" s="282"/>
    </row>
    <row r="768" ht="21.0" customHeight="1">
      <c r="H768" s="282"/>
    </row>
    <row r="769" ht="21.0" customHeight="1">
      <c r="H769" s="282"/>
    </row>
    <row r="770" ht="21.0" customHeight="1">
      <c r="H770" s="282"/>
    </row>
    <row r="771" ht="21.0" customHeight="1">
      <c r="H771" s="282"/>
    </row>
    <row r="772" ht="21.0" customHeight="1">
      <c r="H772" s="282"/>
    </row>
    <row r="773" ht="21.0" customHeight="1">
      <c r="H773" s="282"/>
    </row>
    <row r="774" ht="21.0" customHeight="1">
      <c r="H774" s="282"/>
    </row>
    <row r="775" ht="21.0" customHeight="1">
      <c r="H775" s="282"/>
    </row>
    <row r="776" ht="21.0" customHeight="1">
      <c r="H776" s="282"/>
    </row>
    <row r="777" ht="21.0" customHeight="1">
      <c r="H777" s="282"/>
    </row>
    <row r="778" ht="21.0" customHeight="1">
      <c r="H778" s="282"/>
    </row>
    <row r="779" ht="21.0" customHeight="1">
      <c r="H779" s="282"/>
    </row>
    <row r="780" ht="21.0" customHeight="1">
      <c r="H780" s="282"/>
    </row>
    <row r="781" ht="21.0" customHeight="1">
      <c r="H781" s="282"/>
    </row>
    <row r="782" ht="21.0" customHeight="1">
      <c r="H782" s="282"/>
    </row>
    <row r="783" ht="21.0" customHeight="1">
      <c r="H783" s="282"/>
    </row>
    <row r="784" ht="21.0" customHeight="1">
      <c r="H784" s="282"/>
    </row>
    <row r="785" ht="21.0" customHeight="1">
      <c r="H785" s="282"/>
    </row>
    <row r="786" ht="21.0" customHeight="1">
      <c r="H786" s="282"/>
    </row>
    <row r="787" ht="21.0" customHeight="1">
      <c r="H787" s="282"/>
    </row>
    <row r="788" ht="21.0" customHeight="1">
      <c r="H788" s="282"/>
    </row>
    <row r="789" ht="21.0" customHeight="1">
      <c r="H789" s="282"/>
    </row>
    <row r="790" ht="21.0" customHeight="1">
      <c r="H790" s="282"/>
    </row>
    <row r="791" ht="21.0" customHeight="1">
      <c r="H791" s="282"/>
    </row>
    <row r="792" ht="21.0" customHeight="1">
      <c r="H792" s="282"/>
    </row>
    <row r="793" ht="21.0" customHeight="1">
      <c r="H793" s="282"/>
    </row>
    <row r="794" ht="21.0" customHeight="1">
      <c r="H794" s="282"/>
    </row>
    <row r="795" ht="21.0" customHeight="1">
      <c r="H795" s="282"/>
    </row>
    <row r="796" ht="21.0" customHeight="1">
      <c r="H796" s="282"/>
    </row>
    <row r="797" ht="21.0" customHeight="1">
      <c r="H797" s="282"/>
    </row>
    <row r="798" ht="21.0" customHeight="1">
      <c r="H798" s="282"/>
    </row>
    <row r="799" ht="21.0" customHeight="1">
      <c r="H799" s="282"/>
    </row>
    <row r="800" ht="21.0" customHeight="1">
      <c r="H800" s="282"/>
    </row>
    <row r="801" ht="21.0" customHeight="1">
      <c r="H801" s="282"/>
    </row>
    <row r="802" ht="21.0" customHeight="1">
      <c r="H802" s="282"/>
    </row>
    <row r="803" ht="21.0" customHeight="1">
      <c r="H803" s="282"/>
    </row>
    <row r="804" ht="21.0" customHeight="1">
      <c r="H804" s="282"/>
    </row>
    <row r="805" ht="21.0" customHeight="1">
      <c r="H805" s="282"/>
    </row>
    <row r="806" ht="21.0" customHeight="1">
      <c r="H806" s="282"/>
    </row>
    <row r="807" ht="21.0" customHeight="1">
      <c r="H807" s="282"/>
    </row>
    <row r="808" ht="21.0" customHeight="1">
      <c r="H808" s="282"/>
    </row>
    <row r="809" ht="21.0" customHeight="1">
      <c r="H809" s="282"/>
    </row>
    <row r="810" ht="21.0" customHeight="1">
      <c r="H810" s="282"/>
    </row>
    <row r="811" ht="21.0" customHeight="1">
      <c r="H811" s="282"/>
    </row>
    <row r="812" ht="21.0" customHeight="1">
      <c r="H812" s="282"/>
    </row>
    <row r="813" ht="21.0" customHeight="1">
      <c r="H813" s="282"/>
    </row>
    <row r="814" ht="21.0" customHeight="1">
      <c r="H814" s="282"/>
    </row>
    <row r="815" ht="21.0" customHeight="1">
      <c r="H815" s="282"/>
    </row>
    <row r="816" ht="21.0" customHeight="1">
      <c r="H816" s="282"/>
    </row>
    <row r="817" ht="21.0" customHeight="1">
      <c r="H817" s="282"/>
    </row>
    <row r="818" ht="21.0" customHeight="1">
      <c r="H818" s="282"/>
    </row>
    <row r="819" ht="21.0" customHeight="1">
      <c r="H819" s="282"/>
    </row>
    <row r="820" ht="21.0" customHeight="1">
      <c r="H820" s="282"/>
    </row>
    <row r="821" ht="21.0" customHeight="1">
      <c r="H821" s="282"/>
    </row>
    <row r="822" ht="21.0" customHeight="1">
      <c r="H822" s="282"/>
    </row>
    <row r="823" ht="21.0" customHeight="1">
      <c r="H823" s="282"/>
    </row>
    <row r="824" ht="21.0" customHeight="1">
      <c r="H824" s="282"/>
    </row>
    <row r="825" ht="21.0" customHeight="1">
      <c r="H825" s="282"/>
    </row>
    <row r="826" ht="21.0" customHeight="1">
      <c r="H826" s="282"/>
    </row>
    <row r="827" ht="21.0" customHeight="1">
      <c r="H827" s="282"/>
    </row>
    <row r="828" ht="21.0" customHeight="1">
      <c r="H828" s="282"/>
    </row>
    <row r="829" ht="21.0" customHeight="1">
      <c r="H829" s="282"/>
    </row>
    <row r="830" ht="21.0" customHeight="1">
      <c r="H830" s="282"/>
    </row>
    <row r="831" ht="21.0" customHeight="1">
      <c r="H831" s="282"/>
    </row>
    <row r="832" ht="21.0" customHeight="1">
      <c r="H832" s="282"/>
    </row>
    <row r="833" ht="21.0" customHeight="1">
      <c r="H833" s="282"/>
    </row>
    <row r="834" ht="21.0" customHeight="1">
      <c r="H834" s="282"/>
    </row>
    <row r="835" ht="21.0" customHeight="1">
      <c r="H835" s="282"/>
    </row>
    <row r="836" ht="21.0" customHeight="1">
      <c r="H836" s="282"/>
    </row>
    <row r="837" ht="21.0" customHeight="1">
      <c r="H837" s="282"/>
    </row>
    <row r="838" ht="21.0" customHeight="1">
      <c r="H838" s="282"/>
    </row>
    <row r="839" ht="21.0" customHeight="1">
      <c r="H839" s="282"/>
    </row>
    <row r="840" ht="21.0" customHeight="1">
      <c r="H840" s="282"/>
    </row>
    <row r="841" ht="21.0" customHeight="1">
      <c r="H841" s="282"/>
    </row>
    <row r="842" ht="21.0" customHeight="1">
      <c r="H842" s="282"/>
    </row>
    <row r="843" ht="21.0" customHeight="1">
      <c r="H843" s="282"/>
    </row>
    <row r="844" ht="21.0" customHeight="1">
      <c r="H844" s="282"/>
    </row>
    <row r="845" ht="21.0" customHeight="1">
      <c r="H845" s="282"/>
    </row>
    <row r="846" ht="21.0" customHeight="1">
      <c r="H846" s="282"/>
    </row>
    <row r="847" ht="21.0" customHeight="1">
      <c r="H847" s="282"/>
    </row>
    <row r="848" ht="21.0" customHeight="1">
      <c r="H848" s="282"/>
    </row>
    <row r="849" ht="21.0" customHeight="1">
      <c r="H849" s="282"/>
    </row>
    <row r="850" ht="21.0" customHeight="1">
      <c r="H850" s="282"/>
    </row>
    <row r="851" ht="21.0" customHeight="1">
      <c r="H851" s="282"/>
    </row>
    <row r="852" ht="21.0" customHeight="1">
      <c r="H852" s="282"/>
    </row>
    <row r="853" ht="21.0" customHeight="1">
      <c r="H853" s="282"/>
    </row>
    <row r="854" ht="21.0" customHeight="1">
      <c r="H854" s="282"/>
    </row>
    <row r="855" ht="21.0" customHeight="1">
      <c r="H855" s="282"/>
    </row>
    <row r="856" ht="21.0" customHeight="1">
      <c r="H856" s="282"/>
    </row>
    <row r="857" ht="21.0" customHeight="1">
      <c r="H857" s="282"/>
    </row>
    <row r="858" ht="21.0" customHeight="1">
      <c r="H858" s="282"/>
    </row>
    <row r="859" ht="21.0" customHeight="1">
      <c r="H859" s="282"/>
    </row>
    <row r="860" ht="21.0" customHeight="1">
      <c r="H860" s="282"/>
    </row>
    <row r="861" ht="21.0" customHeight="1">
      <c r="H861" s="282"/>
    </row>
    <row r="862" ht="21.0" customHeight="1">
      <c r="H862" s="282"/>
    </row>
    <row r="863" ht="21.0" customHeight="1">
      <c r="H863" s="282"/>
    </row>
    <row r="864" ht="21.0" customHeight="1">
      <c r="H864" s="282"/>
    </row>
    <row r="865" ht="21.0" customHeight="1">
      <c r="H865" s="282"/>
    </row>
    <row r="866" ht="21.0" customHeight="1">
      <c r="H866" s="282"/>
    </row>
    <row r="867" ht="21.0" customHeight="1">
      <c r="H867" s="282"/>
    </row>
    <row r="868" ht="21.0" customHeight="1">
      <c r="H868" s="282"/>
    </row>
    <row r="869" ht="21.0" customHeight="1">
      <c r="H869" s="282"/>
    </row>
    <row r="870" ht="21.0" customHeight="1">
      <c r="H870" s="282"/>
    </row>
    <row r="871" ht="21.0" customHeight="1">
      <c r="H871" s="282"/>
    </row>
    <row r="872" ht="21.0" customHeight="1">
      <c r="H872" s="282"/>
    </row>
    <row r="873" ht="21.0" customHeight="1">
      <c r="H873" s="282"/>
    </row>
    <row r="874" ht="21.0" customHeight="1">
      <c r="H874" s="282"/>
    </row>
    <row r="875" ht="21.0" customHeight="1">
      <c r="H875" s="282"/>
    </row>
    <row r="876" ht="21.0" customHeight="1">
      <c r="H876" s="282"/>
    </row>
    <row r="877" ht="21.0" customHeight="1">
      <c r="H877" s="282"/>
    </row>
    <row r="878" ht="21.0" customHeight="1">
      <c r="H878" s="282"/>
    </row>
    <row r="879" ht="21.0" customHeight="1">
      <c r="H879" s="282"/>
    </row>
    <row r="880" ht="21.0" customHeight="1">
      <c r="H880" s="282"/>
    </row>
    <row r="881" ht="21.0" customHeight="1">
      <c r="H881" s="282"/>
    </row>
    <row r="882" ht="21.0" customHeight="1">
      <c r="H882" s="282"/>
    </row>
    <row r="883" ht="21.0" customHeight="1">
      <c r="H883" s="282"/>
    </row>
    <row r="884" ht="21.0" customHeight="1">
      <c r="H884" s="282"/>
    </row>
    <row r="885" ht="21.0" customHeight="1">
      <c r="H885" s="282"/>
    </row>
    <row r="886" ht="21.0" customHeight="1">
      <c r="H886" s="282"/>
    </row>
    <row r="887" ht="21.0" customHeight="1">
      <c r="H887" s="282"/>
    </row>
    <row r="888" ht="21.0" customHeight="1">
      <c r="H888" s="282"/>
    </row>
    <row r="889" ht="21.0" customHeight="1">
      <c r="H889" s="282"/>
    </row>
    <row r="890" ht="21.0" customHeight="1">
      <c r="H890" s="282"/>
    </row>
    <row r="891" ht="21.0" customHeight="1">
      <c r="H891" s="282"/>
    </row>
    <row r="892" ht="21.0" customHeight="1">
      <c r="H892" s="282"/>
    </row>
    <row r="893" ht="21.0" customHeight="1">
      <c r="H893" s="282"/>
    </row>
    <row r="894" ht="21.0" customHeight="1">
      <c r="H894" s="282"/>
    </row>
    <row r="895" ht="21.0" customHeight="1">
      <c r="H895" s="282"/>
    </row>
    <row r="896" ht="21.0" customHeight="1">
      <c r="H896" s="282"/>
    </row>
    <row r="897" ht="21.0" customHeight="1">
      <c r="H897" s="282"/>
    </row>
    <row r="898" ht="21.0" customHeight="1">
      <c r="H898" s="282"/>
    </row>
    <row r="899" ht="21.0" customHeight="1">
      <c r="H899" s="282"/>
    </row>
    <row r="900" ht="21.0" customHeight="1">
      <c r="H900" s="282"/>
    </row>
    <row r="901" ht="21.0" customHeight="1">
      <c r="H901" s="282"/>
    </row>
    <row r="902" ht="21.0" customHeight="1">
      <c r="H902" s="282"/>
    </row>
    <row r="903" ht="21.0" customHeight="1">
      <c r="H903" s="282"/>
    </row>
    <row r="904" ht="21.0" customHeight="1">
      <c r="H904" s="282"/>
    </row>
    <row r="905" ht="21.0" customHeight="1">
      <c r="H905" s="282"/>
    </row>
    <row r="906" ht="21.0" customHeight="1">
      <c r="H906" s="282"/>
    </row>
    <row r="907" ht="21.0" customHeight="1">
      <c r="H907" s="282"/>
    </row>
    <row r="908" ht="21.0" customHeight="1">
      <c r="H908" s="282"/>
    </row>
    <row r="909" ht="21.0" customHeight="1">
      <c r="H909" s="282"/>
    </row>
    <row r="910" ht="21.0" customHeight="1">
      <c r="H910" s="282"/>
    </row>
    <row r="911" ht="21.0" customHeight="1">
      <c r="H911" s="282"/>
    </row>
    <row r="912" ht="21.0" customHeight="1">
      <c r="H912" s="282"/>
    </row>
    <row r="913" ht="21.0" customHeight="1">
      <c r="H913" s="282"/>
    </row>
    <row r="914" ht="21.0" customHeight="1">
      <c r="H914" s="282"/>
    </row>
    <row r="915" ht="21.0" customHeight="1">
      <c r="H915" s="282"/>
    </row>
    <row r="916" ht="21.0" customHeight="1">
      <c r="H916" s="282"/>
    </row>
    <row r="917" ht="21.0" customHeight="1">
      <c r="H917" s="282"/>
    </row>
    <row r="918" ht="21.0" customHeight="1">
      <c r="H918" s="282"/>
    </row>
    <row r="919" ht="21.0" customHeight="1">
      <c r="H919" s="282"/>
    </row>
    <row r="920" ht="21.0" customHeight="1">
      <c r="H920" s="282"/>
    </row>
    <row r="921" ht="21.0" customHeight="1">
      <c r="H921" s="282"/>
    </row>
    <row r="922" ht="21.0" customHeight="1">
      <c r="H922" s="282"/>
    </row>
    <row r="923" ht="21.0" customHeight="1">
      <c r="H923" s="282"/>
    </row>
    <row r="924" ht="21.0" customHeight="1">
      <c r="H924" s="282"/>
    </row>
    <row r="925" ht="21.0" customHeight="1">
      <c r="H925" s="282"/>
    </row>
    <row r="926" ht="21.0" customHeight="1">
      <c r="H926" s="282"/>
    </row>
    <row r="927" ht="21.0" customHeight="1">
      <c r="H927" s="282"/>
    </row>
    <row r="928" ht="21.0" customHeight="1">
      <c r="H928" s="282"/>
    </row>
    <row r="929" ht="21.0" customHeight="1">
      <c r="H929" s="282"/>
    </row>
    <row r="930" ht="21.0" customHeight="1">
      <c r="H930" s="282"/>
    </row>
    <row r="931" ht="21.0" customHeight="1">
      <c r="H931" s="282"/>
    </row>
    <row r="932" ht="21.0" customHeight="1">
      <c r="H932" s="282"/>
    </row>
    <row r="933" ht="21.0" customHeight="1">
      <c r="H933" s="282"/>
    </row>
    <row r="934" ht="21.0" customHeight="1">
      <c r="H934" s="282"/>
    </row>
    <row r="935" ht="21.0" customHeight="1">
      <c r="H935" s="282"/>
    </row>
    <row r="936" ht="21.0" customHeight="1">
      <c r="H936" s="282"/>
    </row>
    <row r="937" ht="21.0" customHeight="1">
      <c r="H937" s="282"/>
    </row>
    <row r="938" ht="21.0" customHeight="1">
      <c r="H938" s="282"/>
    </row>
    <row r="939" ht="21.0" customHeight="1">
      <c r="H939" s="282"/>
    </row>
    <row r="940" ht="21.0" customHeight="1">
      <c r="H940" s="282"/>
    </row>
    <row r="941" ht="21.0" customHeight="1">
      <c r="H941" s="282"/>
    </row>
    <row r="942" ht="21.0" customHeight="1">
      <c r="H942" s="282"/>
    </row>
    <row r="943" ht="21.0" customHeight="1">
      <c r="H943" s="282"/>
    </row>
    <row r="944" ht="21.0" customHeight="1">
      <c r="H944" s="282"/>
    </row>
    <row r="945" ht="21.0" customHeight="1">
      <c r="H945" s="282"/>
    </row>
    <row r="946" ht="21.0" customHeight="1">
      <c r="H946" s="282"/>
    </row>
    <row r="947" ht="21.0" customHeight="1">
      <c r="H947" s="282"/>
    </row>
    <row r="948" ht="21.0" customHeight="1">
      <c r="H948" s="282"/>
    </row>
    <row r="949" ht="21.0" customHeight="1">
      <c r="H949" s="282"/>
    </row>
    <row r="950" ht="21.0" customHeight="1">
      <c r="H950" s="282"/>
    </row>
    <row r="951" ht="21.0" customHeight="1">
      <c r="H951" s="282"/>
    </row>
    <row r="952" ht="21.0" customHeight="1">
      <c r="H952" s="282"/>
    </row>
    <row r="953" ht="21.0" customHeight="1">
      <c r="H953" s="282"/>
    </row>
    <row r="954" ht="21.0" customHeight="1">
      <c r="H954" s="282"/>
    </row>
    <row r="955" ht="21.0" customHeight="1">
      <c r="H955" s="282"/>
    </row>
    <row r="956" ht="21.0" customHeight="1">
      <c r="H956" s="282"/>
    </row>
    <row r="957" ht="21.0" customHeight="1">
      <c r="H957" s="282"/>
    </row>
    <row r="958" ht="21.0" customHeight="1">
      <c r="H958" s="282"/>
    </row>
    <row r="959" ht="21.0" customHeight="1">
      <c r="H959" s="282"/>
    </row>
    <row r="960" ht="21.0" customHeight="1">
      <c r="H960" s="282"/>
    </row>
    <row r="961" ht="21.0" customHeight="1">
      <c r="H961" s="282"/>
    </row>
    <row r="962" ht="21.0" customHeight="1">
      <c r="H962" s="282"/>
    </row>
    <row r="963" ht="21.0" customHeight="1">
      <c r="H963" s="282"/>
    </row>
    <row r="964" ht="21.0" customHeight="1">
      <c r="H964" s="282"/>
    </row>
    <row r="965" ht="21.0" customHeight="1">
      <c r="H965" s="282"/>
    </row>
    <row r="966" ht="21.0" customHeight="1">
      <c r="H966" s="282"/>
    </row>
    <row r="967" ht="21.0" customHeight="1">
      <c r="H967" s="282"/>
    </row>
    <row r="968" ht="21.0" customHeight="1">
      <c r="H968" s="282"/>
    </row>
    <row r="969" ht="21.0" customHeight="1">
      <c r="H969" s="282"/>
    </row>
    <row r="970" ht="21.0" customHeight="1">
      <c r="H970" s="282"/>
    </row>
    <row r="971" ht="21.0" customHeight="1">
      <c r="H971" s="282"/>
    </row>
    <row r="972" ht="21.0" customHeight="1">
      <c r="H972" s="282"/>
    </row>
    <row r="973" ht="21.0" customHeight="1">
      <c r="H973" s="282"/>
    </row>
    <row r="974" ht="21.0" customHeight="1">
      <c r="H974" s="282"/>
    </row>
    <row r="975" ht="21.0" customHeight="1">
      <c r="H975" s="282"/>
    </row>
    <row r="976" ht="21.0" customHeight="1">
      <c r="H976" s="282"/>
    </row>
    <row r="977" ht="21.0" customHeight="1">
      <c r="H977" s="282"/>
    </row>
    <row r="978" ht="21.0" customHeight="1">
      <c r="H978" s="282"/>
    </row>
    <row r="979" ht="21.0" customHeight="1">
      <c r="H979" s="282"/>
    </row>
    <row r="980" ht="21.0" customHeight="1">
      <c r="H980" s="282"/>
    </row>
    <row r="981" ht="21.0" customHeight="1">
      <c r="H981" s="282"/>
    </row>
    <row r="982" ht="21.0" customHeight="1">
      <c r="H982" s="282"/>
    </row>
    <row r="983" ht="21.0" customHeight="1">
      <c r="H983" s="282"/>
    </row>
    <row r="984" ht="21.0" customHeight="1">
      <c r="H984" s="282"/>
    </row>
    <row r="985" ht="21.0" customHeight="1">
      <c r="H985" s="282"/>
    </row>
    <row r="986" ht="21.0" customHeight="1">
      <c r="H986" s="282"/>
    </row>
    <row r="987" ht="21.0" customHeight="1">
      <c r="H987" s="282"/>
    </row>
    <row r="988" ht="21.0" customHeight="1">
      <c r="H988" s="282"/>
    </row>
    <row r="989" ht="21.0" customHeight="1">
      <c r="H989" s="282"/>
    </row>
    <row r="990" ht="21.0" customHeight="1">
      <c r="H990" s="282"/>
    </row>
    <row r="991" ht="21.0" customHeight="1">
      <c r="H991" s="282"/>
    </row>
    <row r="992" ht="21.0" customHeight="1">
      <c r="H992" s="282"/>
    </row>
    <row r="993" ht="21.0" customHeight="1">
      <c r="H993" s="282"/>
    </row>
    <row r="994" ht="21.0" customHeight="1">
      <c r="H994" s="282"/>
    </row>
    <row r="995" ht="21.0" customHeight="1">
      <c r="H995" s="282"/>
    </row>
    <row r="996" ht="21.0" customHeight="1">
      <c r="H996" s="282"/>
    </row>
    <row r="997" ht="21.0" customHeight="1">
      <c r="H997" s="282"/>
    </row>
    <row r="998" ht="21.0" customHeight="1">
      <c r="H998" s="282"/>
    </row>
    <row r="999" ht="21.0" customHeight="1">
      <c r="H999" s="282"/>
    </row>
    <row r="1000" ht="21.0" customHeight="1">
      <c r="H1000" s="282"/>
    </row>
  </sheetData>
  <mergeCells count="42">
    <mergeCell ref="A1:G1"/>
    <mergeCell ref="I3:K3"/>
    <mergeCell ref="N5:O5"/>
    <mergeCell ref="N6:O6"/>
    <mergeCell ref="N7:O7"/>
    <mergeCell ref="N8:O8"/>
    <mergeCell ref="N11:P11"/>
    <mergeCell ref="N10:O10"/>
    <mergeCell ref="N14:O14"/>
    <mergeCell ref="I19:K19"/>
    <mergeCell ref="C26:D26"/>
    <mergeCell ref="A30:H30"/>
    <mergeCell ref="L32:N32"/>
    <mergeCell ref="L50:N50"/>
    <mergeCell ref="K147:M147"/>
    <mergeCell ref="K166:M166"/>
    <mergeCell ref="K202:M202"/>
    <mergeCell ref="K240:M240"/>
    <mergeCell ref="A61:K61"/>
    <mergeCell ref="K63:M63"/>
    <mergeCell ref="K81:M81"/>
    <mergeCell ref="A101:K101"/>
    <mergeCell ref="K103:M103"/>
    <mergeCell ref="K121:M121"/>
    <mergeCell ref="A145:K145"/>
    <mergeCell ref="A177:B178"/>
    <mergeCell ref="C178:D178"/>
    <mergeCell ref="A182:K182"/>
    <mergeCell ref="K184:M184"/>
    <mergeCell ref="A215:B216"/>
    <mergeCell ref="C216:D216"/>
    <mergeCell ref="A220:K220"/>
    <mergeCell ref="K222:M222"/>
    <mergeCell ref="A249:B250"/>
    <mergeCell ref="C250:D250"/>
    <mergeCell ref="A25:B26"/>
    <mergeCell ref="A57:B58"/>
    <mergeCell ref="C58:D58"/>
    <mergeCell ref="A96:B97"/>
    <mergeCell ref="C97:D97"/>
    <mergeCell ref="A140:B141"/>
    <mergeCell ref="C141:D14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21" width="3.71"/>
    <col customWidth="1" min="22" max="24" width="5.71"/>
    <col customWidth="1" min="25" max="26" width="8.71"/>
  </cols>
  <sheetData>
    <row r="1" ht="21.0" customHeight="1">
      <c r="A1" s="407"/>
      <c r="B1" s="3"/>
      <c r="C1" s="408" t="s">
        <v>419</v>
      </c>
      <c r="D1" s="2"/>
      <c r="E1" s="2"/>
      <c r="F1" s="2"/>
      <c r="G1" s="2"/>
      <c r="H1" s="2"/>
      <c r="I1" s="2"/>
      <c r="J1" s="2"/>
      <c r="K1" s="2"/>
      <c r="L1" s="409"/>
      <c r="M1" s="410" t="s">
        <v>422</v>
      </c>
      <c r="N1" s="2"/>
      <c r="O1" s="2"/>
      <c r="P1" s="2"/>
      <c r="Q1" s="2"/>
      <c r="R1" s="2"/>
      <c r="S1" s="2"/>
      <c r="T1" s="2"/>
      <c r="U1" s="3"/>
      <c r="V1" s="411" t="s">
        <v>423</v>
      </c>
      <c r="W1" s="2"/>
      <c r="X1" s="3"/>
    </row>
    <row r="2" ht="21.0" customHeight="1">
      <c r="A2" s="14" t="s">
        <v>131</v>
      </c>
      <c r="B2" s="3"/>
      <c r="C2" s="412"/>
      <c r="D2" s="412"/>
      <c r="E2" s="412"/>
      <c r="F2" s="412"/>
      <c r="G2" s="412"/>
      <c r="H2" s="412"/>
      <c r="I2" s="412"/>
      <c r="J2" s="412"/>
      <c r="K2" s="412"/>
      <c r="L2" s="413"/>
      <c r="M2" s="414"/>
      <c r="N2" s="412"/>
      <c r="O2" s="412"/>
      <c r="P2" s="412"/>
      <c r="Q2" s="412"/>
      <c r="R2" s="412"/>
      <c r="S2" s="412"/>
      <c r="T2" s="412"/>
      <c r="U2" s="412"/>
      <c r="V2" s="414"/>
      <c r="W2" s="415"/>
      <c r="X2" s="412"/>
    </row>
    <row r="3" ht="21.0" customHeight="1">
      <c r="A3" s="14" t="s">
        <v>387</v>
      </c>
      <c r="B3" s="3"/>
      <c r="C3" s="416"/>
      <c r="D3" s="87"/>
      <c r="E3" s="417"/>
      <c r="F3" s="417"/>
      <c r="G3" s="417"/>
      <c r="H3" s="417"/>
      <c r="I3" s="417"/>
      <c r="J3" s="87"/>
      <c r="K3" s="418"/>
      <c r="L3" s="419"/>
      <c r="M3" s="420"/>
      <c r="N3" s="87"/>
      <c r="O3" s="87"/>
      <c r="P3" s="417"/>
      <c r="Q3" s="417"/>
      <c r="R3" s="417"/>
      <c r="S3" s="87"/>
      <c r="T3" s="418"/>
      <c r="U3" s="418"/>
      <c r="V3" s="421"/>
      <c r="W3" s="422"/>
      <c r="X3" s="87"/>
    </row>
    <row r="4" ht="21.0" customHeight="1">
      <c r="A4" s="14" t="s">
        <v>4</v>
      </c>
      <c r="B4" s="3"/>
      <c r="C4" s="87"/>
      <c r="D4" s="87"/>
      <c r="E4" s="87"/>
      <c r="F4" s="87"/>
      <c r="G4" s="87"/>
      <c r="H4" s="87"/>
      <c r="I4" s="87"/>
      <c r="J4" s="87"/>
      <c r="K4" s="87"/>
      <c r="L4" s="423"/>
      <c r="M4" s="421"/>
      <c r="N4" s="87"/>
      <c r="O4" s="87"/>
      <c r="P4" s="87"/>
      <c r="Q4" s="87"/>
      <c r="R4" s="87"/>
      <c r="S4" s="87"/>
      <c r="T4" s="87"/>
      <c r="U4" s="87"/>
      <c r="V4" s="421"/>
      <c r="W4" s="422"/>
      <c r="X4" s="87"/>
    </row>
    <row r="5" ht="21.0" customHeight="1">
      <c r="A5" s="14" t="s">
        <v>211</v>
      </c>
      <c r="B5" s="3"/>
      <c r="C5" s="424"/>
      <c r="D5" s="425"/>
      <c r="E5" s="424"/>
      <c r="F5" s="424"/>
      <c r="G5" s="424"/>
      <c r="H5" s="424"/>
      <c r="I5" s="424"/>
      <c r="J5" s="425"/>
      <c r="K5" s="424"/>
      <c r="L5" s="426"/>
      <c r="M5" s="427"/>
      <c r="N5" s="425"/>
      <c r="O5" s="425"/>
      <c r="P5" s="424"/>
      <c r="Q5" s="424"/>
      <c r="R5" s="424"/>
      <c r="S5" s="425"/>
      <c r="T5" s="424"/>
      <c r="U5" s="424"/>
      <c r="V5" s="428"/>
      <c r="W5" s="429"/>
      <c r="X5" s="425"/>
    </row>
    <row r="6" ht="21.0" customHeight="1">
      <c r="A6" s="14" t="s">
        <v>572</v>
      </c>
      <c r="B6" s="3"/>
      <c r="C6" s="425"/>
      <c r="D6" s="425"/>
      <c r="E6" s="430"/>
      <c r="F6" s="430"/>
      <c r="G6" s="430"/>
      <c r="H6" s="430"/>
      <c r="I6" s="430"/>
      <c r="J6" s="425"/>
      <c r="K6" s="431"/>
      <c r="L6" s="432"/>
      <c r="M6" s="428"/>
      <c r="N6" s="425"/>
      <c r="O6" s="425"/>
      <c r="P6" s="430"/>
      <c r="Q6" s="430"/>
      <c r="R6" s="430"/>
      <c r="S6" s="425"/>
      <c r="T6" s="431"/>
      <c r="U6" s="431"/>
      <c r="V6" s="428"/>
      <c r="W6" s="429"/>
      <c r="X6" s="425"/>
    </row>
    <row r="7" ht="21.0" customHeight="1">
      <c r="A7" s="433"/>
      <c r="B7" s="433"/>
      <c r="C7" s="433"/>
      <c r="D7" s="434"/>
      <c r="E7" s="433"/>
      <c r="F7" s="433"/>
      <c r="G7" s="433"/>
      <c r="H7" s="433"/>
      <c r="I7" s="433"/>
      <c r="J7" s="434"/>
      <c r="K7" s="434"/>
      <c r="L7" s="434"/>
      <c r="M7" s="433"/>
      <c r="N7" s="434"/>
      <c r="O7" s="434"/>
      <c r="P7" s="433"/>
      <c r="Q7" s="433"/>
      <c r="R7" s="433"/>
      <c r="S7" s="434"/>
      <c r="T7" s="434"/>
      <c r="U7" s="434"/>
      <c r="V7" s="434"/>
      <c r="W7" s="434"/>
      <c r="X7" s="434"/>
    </row>
    <row r="8" ht="21.0" customHeight="1">
      <c r="A8" s="408"/>
      <c r="B8" s="3"/>
      <c r="C8" s="435" t="s">
        <v>419</v>
      </c>
      <c r="D8" s="2"/>
      <c r="E8" s="2"/>
      <c r="F8" s="2"/>
      <c r="G8" s="2"/>
      <c r="H8" s="2"/>
      <c r="I8" s="2"/>
      <c r="J8" s="2"/>
      <c r="K8" s="2"/>
      <c r="L8" s="2"/>
      <c r="M8" s="410" t="s">
        <v>422</v>
      </c>
      <c r="N8" s="2"/>
      <c r="O8" s="2"/>
      <c r="P8" s="2"/>
      <c r="Q8" s="2"/>
      <c r="R8" s="2"/>
      <c r="S8" s="2"/>
      <c r="T8" s="2"/>
      <c r="U8" s="2"/>
      <c r="V8" s="411" t="s">
        <v>423</v>
      </c>
      <c r="W8" s="2"/>
      <c r="X8" s="3"/>
    </row>
    <row r="9" ht="21.0" customHeight="1">
      <c r="A9" s="39" t="s">
        <v>106</v>
      </c>
      <c r="B9" s="3"/>
      <c r="C9" s="415"/>
      <c r="D9" s="412"/>
      <c r="E9" s="412"/>
      <c r="F9" s="412"/>
      <c r="G9" s="412"/>
      <c r="H9" s="412"/>
      <c r="I9" s="412"/>
      <c r="J9" s="412"/>
      <c r="K9" s="412"/>
      <c r="L9" s="413"/>
      <c r="M9" s="414"/>
      <c r="N9" s="412"/>
      <c r="O9" s="412"/>
      <c r="P9" s="412"/>
      <c r="Q9" s="412"/>
      <c r="R9" s="412"/>
      <c r="S9" s="412"/>
      <c r="T9" s="412"/>
      <c r="U9" s="413"/>
      <c r="V9" s="414"/>
      <c r="W9" s="415"/>
      <c r="X9" s="412"/>
    </row>
    <row r="10" ht="21.0" customHeight="1">
      <c r="A10" s="39" t="s">
        <v>7</v>
      </c>
      <c r="B10" s="3"/>
      <c r="C10" s="436"/>
      <c r="D10" s="87"/>
      <c r="E10" s="417"/>
      <c r="F10" s="417"/>
      <c r="G10" s="417"/>
      <c r="H10" s="417"/>
      <c r="I10" s="417"/>
      <c r="J10" s="87"/>
      <c r="K10" s="418"/>
      <c r="L10" s="419"/>
      <c r="M10" s="420"/>
      <c r="N10" s="87"/>
      <c r="O10" s="87"/>
      <c r="P10" s="417"/>
      <c r="Q10" s="417"/>
      <c r="R10" s="417"/>
      <c r="S10" s="87"/>
      <c r="T10" s="418"/>
      <c r="U10" s="419"/>
      <c r="V10" s="421"/>
      <c r="W10" s="422"/>
      <c r="X10" s="87"/>
    </row>
    <row r="11" ht="21.0" customHeight="1">
      <c r="A11" s="39" t="s">
        <v>5</v>
      </c>
      <c r="B11" s="3"/>
      <c r="C11" s="422"/>
      <c r="D11" s="87"/>
      <c r="E11" s="87"/>
      <c r="F11" s="87"/>
      <c r="G11" s="87"/>
      <c r="H11" s="87"/>
      <c r="I11" s="87"/>
      <c r="J11" s="87"/>
      <c r="K11" s="87"/>
      <c r="L11" s="423"/>
      <c r="M11" s="421"/>
      <c r="N11" s="87"/>
      <c r="O11" s="87"/>
      <c r="P11" s="87"/>
      <c r="Q11" s="87"/>
      <c r="R11" s="87"/>
      <c r="S11" s="87"/>
      <c r="T11" s="87"/>
      <c r="U11" s="423"/>
      <c r="V11" s="421"/>
      <c r="W11" s="422"/>
      <c r="X11" s="87"/>
    </row>
    <row r="12" ht="21.0" customHeight="1">
      <c r="A12" s="39" t="s">
        <v>20</v>
      </c>
      <c r="B12" s="3"/>
      <c r="C12" s="437"/>
      <c r="D12" s="425"/>
      <c r="E12" s="424"/>
      <c r="F12" s="424"/>
      <c r="G12" s="424"/>
      <c r="H12" s="424"/>
      <c r="I12" s="424"/>
      <c r="J12" s="425"/>
      <c r="K12" s="424"/>
      <c r="L12" s="426"/>
      <c r="M12" s="427"/>
      <c r="N12" s="425"/>
      <c r="O12" s="425"/>
      <c r="P12" s="424"/>
      <c r="Q12" s="424"/>
      <c r="R12" s="424"/>
      <c r="S12" s="425"/>
      <c r="T12" s="424"/>
      <c r="U12" s="426"/>
      <c r="V12" s="428"/>
      <c r="W12" s="429"/>
      <c r="X12" s="425"/>
    </row>
    <row r="13" ht="21.0" customHeight="1">
      <c r="A13" s="39" t="s">
        <v>17</v>
      </c>
      <c r="B13" s="3"/>
      <c r="C13" s="429"/>
      <c r="D13" s="425"/>
      <c r="E13" s="430"/>
      <c r="F13" s="430"/>
      <c r="G13" s="430"/>
      <c r="H13" s="430"/>
      <c r="I13" s="430"/>
      <c r="J13" s="425"/>
      <c r="K13" s="431"/>
      <c r="L13" s="432"/>
      <c r="M13" s="428"/>
      <c r="N13" s="425"/>
      <c r="O13" s="425"/>
      <c r="P13" s="430"/>
      <c r="Q13" s="430"/>
      <c r="R13" s="430"/>
      <c r="S13" s="425"/>
      <c r="T13" s="431"/>
      <c r="U13" s="432"/>
      <c r="V13" s="428"/>
      <c r="W13" s="429"/>
      <c r="X13" s="425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A1:B1"/>
    <mergeCell ref="C1:L1"/>
    <mergeCell ref="M1:U1"/>
    <mergeCell ref="V1:X1"/>
    <mergeCell ref="A2:B2"/>
    <mergeCell ref="A3:B3"/>
    <mergeCell ref="A4:B4"/>
    <mergeCell ref="A10:B10"/>
    <mergeCell ref="A11:B11"/>
    <mergeCell ref="A12:B12"/>
    <mergeCell ref="A13:B13"/>
    <mergeCell ref="A5:B5"/>
    <mergeCell ref="A6:B6"/>
    <mergeCell ref="A8:B8"/>
    <mergeCell ref="C8:L8"/>
    <mergeCell ref="M8:U8"/>
    <mergeCell ref="V8:X8"/>
    <mergeCell ref="A9:B9"/>
  </mergeCells>
  <printOptions/>
  <pageMargins bottom="0.75" footer="0.0" header="0.0" left="0.7" right="0.7" top="0.75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1.86"/>
    <col customWidth="1" min="3" max="3" width="5.71"/>
    <col customWidth="1" min="4" max="4" width="8.71"/>
    <col customWidth="1" min="5" max="5" width="10.57"/>
    <col customWidth="1" min="6" max="6" width="5.71"/>
    <col customWidth="1" min="7" max="7" width="8.71"/>
    <col customWidth="1" min="8" max="8" width="11.86"/>
    <col customWidth="1" min="9" max="9" width="5.71"/>
    <col customWidth="1" min="10" max="10" width="8.71"/>
    <col customWidth="1" min="11" max="11" width="10.71"/>
    <col customWidth="1" min="12" max="12" width="5.71"/>
    <col customWidth="1" min="13" max="13" width="8.71"/>
    <col customWidth="1" min="14" max="14" width="10.71"/>
    <col customWidth="1" min="15" max="15" width="5.71"/>
    <col customWidth="1" min="16" max="16" width="8.71"/>
    <col customWidth="1" min="17" max="17" width="10.71"/>
    <col customWidth="1" min="18" max="18" width="5.71"/>
    <col customWidth="1" min="19" max="20" width="8.71"/>
    <col customWidth="1" min="21" max="21" width="5.71"/>
    <col customWidth="1" min="22" max="26" width="8.71"/>
  </cols>
  <sheetData>
    <row r="1" ht="14.25" customHeight="1">
      <c r="A1" s="438"/>
      <c r="B1" s="439"/>
      <c r="C1" s="440" t="s">
        <v>573</v>
      </c>
      <c r="T1" s="438"/>
      <c r="U1" s="438"/>
      <c r="V1" s="438"/>
      <c r="W1" s="438"/>
      <c r="X1" s="438"/>
      <c r="Y1" s="438"/>
      <c r="Z1" s="438"/>
    </row>
    <row r="2" ht="15.0" customHeight="1">
      <c r="A2" s="438"/>
      <c r="B2" s="439"/>
      <c r="C2" s="441"/>
      <c r="D2" s="438"/>
      <c r="E2" s="438"/>
      <c r="F2" s="438"/>
      <c r="G2" s="442" t="s">
        <v>574</v>
      </c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</row>
    <row r="3" ht="14.25" customHeight="1">
      <c r="B3" s="22"/>
      <c r="C3" s="22"/>
    </row>
    <row r="4" ht="14.25" customHeight="1">
      <c r="B4" s="443" t="s">
        <v>575</v>
      </c>
      <c r="C4" s="143"/>
      <c r="E4" s="444" t="s">
        <v>419</v>
      </c>
      <c r="F4" s="143"/>
      <c r="H4" s="445" t="s">
        <v>422</v>
      </c>
      <c r="I4" s="143"/>
      <c r="K4" s="446" t="s">
        <v>576</v>
      </c>
      <c r="L4" s="143"/>
      <c r="N4" s="312" t="s">
        <v>577</v>
      </c>
      <c r="O4" s="143"/>
      <c r="Q4" s="447" t="s">
        <v>578</v>
      </c>
      <c r="R4" s="143"/>
      <c r="T4" s="448" t="s">
        <v>579</v>
      </c>
      <c r="U4" s="143"/>
    </row>
    <row r="5" ht="14.25" customHeight="1">
      <c r="B5" s="22" t="s">
        <v>120</v>
      </c>
      <c r="C5" s="449">
        <v>45.0</v>
      </c>
      <c r="E5" s="22" t="s">
        <v>278</v>
      </c>
      <c r="F5" s="450">
        <v>70.0</v>
      </c>
      <c r="H5" s="22" t="s">
        <v>5</v>
      </c>
      <c r="I5" s="451">
        <v>46.0</v>
      </c>
      <c r="K5" s="22" t="s">
        <v>18</v>
      </c>
      <c r="L5" s="452">
        <v>26.0</v>
      </c>
      <c r="N5" s="22" t="s">
        <v>120</v>
      </c>
      <c r="O5" s="453">
        <v>6.0</v>
      </c>
      <c r="Q5" s="22" t="s">
        <v>120</v>
      </c>
      <c r="R5" s="454">
        <v>21.0</v>
      </c>
      <c r="T5" s="22" t="s">
        <v>120</v>
      </c>
      <c r="U5" s="455">
        <v>4.0</v>
      </c>
    </row>
    <row r="6" ht="14.25" customHeight="1">
      <c r="B6" s="22" t="s">
        <v>18</v>
      </c>
      <c r="C6" s="449">
        <v>45.0</v>
      </c>
      <c r="E6" s="22" t="s">
        <v>5</v>
      </c>
      <c r="F6" s="290">
        <v>53.0</v>
      </c>
      <c r="H6" s="22" t="s">
        <v>120</v>
      </c>
      <c r="I6" s="456">
        <v>42.0</v>
      </c>
      <c r="K6" s="22" t="s">
        <v>278</v>
      </c>
      <c r="L6" s="457">
        <v>22.0</v>
      </c>
      <c r="N6" s="22" t="s">
        <v>7</v>
      </c>
      <c r="O6" s="453">
        <v>6.0</v>
      </c>
      <c r="Q6" s="22" t="s">
        <v>7</v>
      </c>
      <c r="R6" s="454">
        <v>21.0</v>
      </c>
      <c r="T6" s="22" t="s">
        <v>263</v>
      </c>
      <c r="U6" s="458">
        <v>3.0</v>
      </c>
    </row>
    <row r="7" ht="14.25" customHeight="1">
      <c r="B7" s="22" t="s">
        <v>7</v>
      </c>
      <c r="C7" s="459">
        <v>44.0</v>
      </c>
      <c r="E7" s="22" t="s">
        <v>166</v>
      </c>
      <c r="F7" s="290">
        <v>48.0</v>
      </c>
      <c r="H7" s="22" t="s">
        <v>7</v>
      </c>
      <c r="I7" s="456">
        <v>38.0</v>
      </c>
      <c r="K7" s="22" t="s">
        <v>5</v>
      </c>
      <c r="L7" s="457">
        <v>21.0</v>
      </c>
      <c r="N7" s="22" t="s">
        <v>4</v>
      </c>
      <c r="O7" s="453">
        <v>6.0</v>
      </c>
      <c r="Q7" s="22" t="s">
        <v>166</v>
      </c>
      <c r="R7" s="460">
        <v>20.0</v>
      </c>
      <c r="T7" s="22" t="s">
        <v>7</v>
      </c>
      <c r="U7" s="458">
        <v>2.0</v>
      </c>
    </row>
    <row r="8" ht="14.25" customHeight="1">
      <c r="B8" s="22" t="s">
        <v>5</v>
      </c>
      <c r="C8" s="459">
        <v>43.0</v>
      </c>
      <c r="E8" s="22" t="s">
        <v>4</v>
      </c>
      <c r="F8" s="290">
        <v>39.0</v>
      </c>
      <c r="H8" s="22" t="s">
        <v>166</v>
      </c>
      <c r="I8" s="456">
        <v>27.0</v>
      </c>
      <c r="K8" s="22" t="s">
        <v>120</v>
      </c>
      <c r="L8" s="457">
        <v>18.0</v>
      </c>
      <c r="N8" s="22" t="s">
        <v>18</v>
      </c>
      <c r="O8" s="313">
        <v>5.0</v>
      </c>
      <c r="Q8" s="22" t="s">
        <v>4</v>
      </c>
      <c r="R8" s="460">
        <v>17.0</v>
      </c>
      <c r="T8" s="22" t="s">
        <v>5</v>
      </c>
      <c r="U8" s="458">
        <v>2.0</v>
      </c>
    </row>
    <row r="9" ht="14.25" customHeight="1">
      <c r="B9" s="22" t="s">
        <v>166</v>
      </c>
      <c r="C9" s="459">
        <v>41.0</v>
      </c>
      <c r="E9" s="22" t="s">
        <v>17</v>
      </c>
      <c r="F9" s="290">
        <v>36.0</v>
      </c>
      <c r="H9" s="22" t="s">
        <v>278</v>
      </c>
      <c r="I9" s="456">
        <v>25.0</v>
      </c>
      <c r="K9" s="22" t="s">
        <v>7</v>
      </c>
      <c r="L9" s="457">
        <v>17.0</v>
      </c>
      <c r="N9" s="22" t="s">
        <v>5</v>
      </c>
      <c r="O9" s="313">
        <v>5.0</v>
      </c>
      <c r="Q9" s="22" t="s">
        <v>5</v>
      </c>
      <c r="R9" s="460">
        <v>17.0</v>
      </c>
      <c r="T9" s="22" t="s">
        <v>296</v>
      </c>
      <c r="U9" s="458">
        <v>1.0</v>
      </c>
    </row>
    <row r="10" ht="14.25" customHeight="1">
      <c r="B10" s="22" t="s">
        <v>278</v>
      </c>
      <c r="C10" s="459">
        <v>38.0</v>
      </c>
      <c r="E10" s="22" t="s">
        <v>120</v>
      </c>
      <c r="F10" s="290">
        <v>36.0</v>
      </c>
      <c r="H10" s="22" t="s">
        <v>4</v>
      </c>
      <c r="I10" s="456">
        <v>23.0</v>
      </c>
      <c r="K10" s="22" t="s">
        <v>166</v>
      </c>
      <c r="L10" s="457">
        <v>16.0</v>
      </c>
      <c r="N10" s="22" t="s">
        <v>296</v>
      </c>
      <c r="O10" s="313">
        <v>5.0</v>
      </c>
      <c r="Q10" s="22" t="s">
        <v>18</v>
      </c>
      <c r="R10" s="460">
        <v>14.0</v>
      </c>
      <c r="T10" s="22" t="s">
        <v>138</v>
      </c>
      <c r="U10" s="458">
        <v>1.0</v>
      </c>
    </row>
    <row r="11" ht="14.25" customHeight="1">
      <c r="B11" s="22" t="s">
        <v>4</v>
      </c>
      <c r="C11" s="459">
        <v>36.0</v>
      </c>
      <c r="E11" s="22" t="s">
        <v>7</v>
      </c>
      <c r="F11" s="290">
        <v>27.0</v>
      </c>
      <c r="H11" s="22" t="s">
        <v>17</v>
      </c>
      <c r="I11" s="456">
        <v>20.0</v>
      </c>
      <c r="K11" s="22" t="s">
        <v>17</v>
      </c>
      <c r="L11" s="457">
        <v>13.0</v>
      </c>
      <c r="N11" s="22" t="s">
        <v>166</v>
      </c>
      <c r="O11" s="313">
        <v>5.0</v>
      </c>
      <c r="Q11" s="22" t="s">
        <v>17</v>
      </c>
      <c r="R11" s="460">
        <v>15.0</v>
      </c>
      <c r="T11" s="22" t="s">
        <v>278</v>
      </c>
      <c r="U11" s="458">
        <v>1.0</v>
      </c>
    </row>
    <row r="12" ht="14.25" customHeight="1">
      <c r="B12" s="22" t="s">
        <v>17</v>
      </c>
      <c r="C12" s="459">
        <v>30.0</v>
      </c>
      <c r="E12" s="22" t="s">
        <v>18</v>
      </c>
      <c r="F12" s="290">
        <v>21.0</v>
      </c>
      <c r="H12" s="22" t="s">
        <v>20</v>
      </c>
      <c r="I12" s="456">
        <v>18.0</v>
      </c>
      <c r="K12" s="22" t="s">
        <v>4</v>
      </c>
      <c r="L12" s="457">
        <v>13.0</v>
      </c>
      <c r="N12" s="22" t="s">
        <v>20</v>
      </c>
      <c r="O12" s="313">
        <v>4.0</v>
      </c>
      <c r="Q12" s="22" t="s">
        <v>296</v>
      </c>
      <c r="R12" s="460">
        <v>12.0</v>
      </c>
      <c r="T12" s="22" t="s">
        <v>166</v>
      </c>
      <c r="U12" s="458">
        <v>1.0</v>
      </c>
    </row>
    <row r="13" ht="14.25" customHeight="1">
      <c r="B13" s="22" t="s">
        <v>20</v>
      </c>
      <c r="C13" s="459">
        <v>27.0</v>
      </c>
      <c r="E13" s="22" t="s">
        <v>20</v>
      </c>
      <c r="F13" s="290">
        <v>21.0</v>
      </c>
      <c r="H13" s="22" t="s">
        <v>14</v>
      </c>
      <c r="I13" s="456">
        <v>16.0</v>
      </c>
      <c r="K13" s="22" t="s">
        <v>263</v>
      </c>
      <c r="L13" s="457">
        <v>12.0</v>
      </c>
      <c r="N13" s="22" t="s">
        <v>278</v>
      </c>
      <c r="O13" s="313">
        <v>4.0</v>
      </c>
      <c r="Q13" s="22" t="s">
        <v>278</v>
      </c>
      <c r="R13" s="460">
        <v>12.0</v>
      </c>
    </row>
    <row r="14" ht="14.25" customHeight="1">
      <c r="B14" s="22" t="s">
        <v>296</v>
      </c>
      <c r="C14" s="459">
        <v>24.0</v>
      </c>
      <c r="E14" s="22" t="s">
        <v>296</v>
      </c>
      <c r="F14" s="290">
        <v>18.0</v>
      </c>
      <c r="H14" s="22" t="s">
        <v>296</v>
      </c>
      <c r="I14" s="456">
        <v>15.0</v>
      </c>
      <c r="K14" s="22" t="s">
        <v>20</v>
      </c>
      <c r="L14" s="457">
        <v>12.0</v>
      </c>
      <c r="N14" s="22" t="s">
        <v>210</v>
      </c>
      <c r="O14" s="313">
        <v>2.0</v>
      </c>
      <c r="Q14" s="22" t="s">
        <v>20</v>
      </c>
      <c r="R14" s="460">
        <v>11.0</v>
      </c>
    </row>
    <row r="15" ht="14.25" customHeight="1">
      <c r="B15" s="22" t="s">
        <v>263</v>
      </c>
      <c r="C15" s="459">
        <v>20.0</v>
      </c>
      <c r="E15" s="22" t="s">
        <v>14</v>
      </c>
      <c r="F15" s="290">
        <v>18.0</v>
      </c>
      <c r="H15" s="22" t="s">
        <v>18</v>
      </c>
      <c r="I15" s="456">
        <v>13.0</v>
      </c>
      <c r="K15" s="22" t="s">
        <v>296</v>
      </c>
      <c r="L15" s="457">
        <v>7.0</v>
      </c>
      <c r="N15" s="22" t="s">
        <v>138</v>
      </c>
      <c r="O15" s="313">
        <v>2.0</v>
      </c>
      <c r="Q15" s="22" t="s">
        <v>14</v>
      </c>
      <c r="R15" s="460">
        <v>11.0</v>
      </c>
    </row>
    <row r="16" ht="14.25" customHeight="1">
      <c r="B16" s="22" t="s">
        <v>14</v>
      </c>
      <c r="C16" s="459">
        <v>18.0</v>
      </c>
      <c r="E16" s="22" t="s">
        <v>210</v>
      </c>
      <c r="F16" s="290">
        <v>17.0</v>
      </c>
      <c r="H16" s="22" t="s">
        <v>263</v>
      </c>
      <c r="I16" s="456">
        <v>11.0</v>
      </c>
      <c r="K16" s="22" t="s">
        <v>210</v>
      </c>
      <c r="L16" s="457">
        <v>6.0</v>
      </c>
      <c r="N16" s="22" t="s">
        <v>580</v>
      </c>
      <c r="O16" s="313">
        <v>2.0</v>
      </c>
      <c r="Q16" s="22" t="s">
        <v>210</v>
      </c>
      <c r="R16" s="460">
        <v>8.0</v>
      </c>
    </row>
    <row r="17" ht="14.25" customHeight="1">
      <c r="B17" s="22" t="s">
        <v>210</v>
      </c>
      <c r="C17" s="459">
        <v>16.0</v>
      </c>
      <c r="E17" s="22" t="s">
        <v>263</v>
      </c>
      <c r="F17" s="290">
        <v>16.0</v>
      </c>
      <c r="H17" s="22" t="s">
        <v>138</v>
      </c>
      <c r="I17" s="456">
        <v>7.0</v>
      </c>
      <c r="K17" s="22" t="s">
        <v>14</v>
      </c>
      <c r="L17" s="457">
        <v>6.0</v>
      </c>
      <c r="N17" s="22" t="s">
        <v>263</v>
      </c>
      <c r="O17" s="313">
        <v>2.0</v>
      </c>
      <c r="Q17" s="22" t="s">
        <v>580</v>
      </c>
      <c r="R17" s="460">
        <v>6.0</v>
      </c>
    </row>
    <row r="18" ht="14.25" customHeight="1">
      <c r="B18" s="22" t="s">
        <v>138</v>
      </c>
      <c r="C18" s="459">
        <v>11.0</v>
      </c>
      <c r="E18" s="22" t="s">
        <v>138</v>
      </c>
      <c r="F18" s="290">
        <v>9.0</v>
      </c>
      <c r="H18" s="22" t="s">
        <v>210</v>
      </c>
      <c r="I18" s="456">
        <v>4.0</v>
      </c>
      <c r="K18" s="22" t="s">
        <v>138</v>
      </c>
      <c r="L18" s="457">
        <v>5.0</v>
      </c>
      <c r="N18" s="22" t="s">
        <v>17</v>
      </c>
      <c r="O18" s="313">
        <v>2.0</v>
      </c>
      <c r="Q18" s="22" t="s">
        <v>263</v>
      </c>
      <c r="R18" s="460">
        <v>6.0</v>
      </c>
    </row>
    <row r="19" ht="14.25" customHeight="1">
      <c r="B19" s="461" t="s">
        <v>581</v>
      </c>
      <c r="C19" s="462">
        <v>10.0</v>
      </c>
      <c r="E19" s="461" t="s">
        <v>581</v>
      </c>
      <c r="F19" s="463">
        <v>9.0</v>
      </c>
      <c r="H19" s="461" t="s">
        <v>581</v>
      </c>
      <c r="I19" s="464">
        <v>4.0</v>
      </c>
      <c r="K19" s="461" t="s">
        <v>580</v>
      </c>
      <c r="L19" s="465">
        <v>2.0</v>
      </c>
      <c r="N19" s="461" t="s">
        <v>14</v>
      </c>
      <c r="O19" s="466">
        <v>1.0</v>
      </c>
      <c r="Q19" s="461" t="s">
        <v>138</v>
      </c>
      <c r="R19" s="467">
        <v>4.0</v>
      </c>
    </row>
    <row r="20" ht="14.25" customHeight="1">
      <c r="B20" s="22" t="s">
        <v>6</v>
      </c>
      <c r="C20" s="459">
        <v>5.0</v>
      </c>
      <c r="E20" s="22" t="s">
        <v>9</v>
      </c>
      <c r="F20" s="290">
        <v>5.0</v>
      </c>
      <c r="H20" s="22" t="s">
        <v>54</v>
      </c>
      <c r="I20" s="456">
        <v>7.0</v>
      </c>
      <c r="K20" s="22" t="s">
        <v>9</v>
      </c>
      <c r="L20" s="457">
        <v>3.0</v>
      </c>
      <c r="N20" s="22" t="s">
        <v>9</v>
      </c>
      <c r="O20" s="313">
        <v>1.0</v>
      </c>
      <c r="Q20" s="22" t="s">
        <v>6</v>
      </c>
      <c r="R20" s="460">
        <v>5.0</v>
      </c>
    </row>
    <row r="21" ht="14.25" customHeight="1">
      <c r="B21" s="22" t="s">
        <v>9</v>
      </c>
      <c r="C21" s="459">
        <v>5.0</v>
      </c>
      <c r="E21" s="22" t="s">
        <v>54</v>
      </c>
      <c r="F21" s="290">
        <v>4.0</v>
      </c>
      <c r="H21" s="22" t="s">
        <v>211</v>
      </c>
      <c r="I21" s="456">
        <v>4.0</v>
      </c>
      <c r="K21" s="22" t="s">
        <v>54</v>
      </c>
      <c r="L21" s="457">
        <v>3.0</v>
      </c>
      <c r="N21" s="22" t="s">
        <v>137</v>
      </c>
      <c r="O21" s="313">
        <v>1.0</v>
      </c>
      <c r="Q21" s="22" t="s">
        <v>137</v>
      </c>
      <c r="R21" s="460">
        <v>3.0</v>
      </c>
    </row>
    <row r="22" ht="14.25" customHeight="1">
      <c r="B22" s="22" t="s">
        <v>11</v>
      </c>
      <c r="C22" s="459">
        <v>4.0</v>
      </c>
      <c r="E22" s="22" t="s">
        <v>11</v>
      </c>
      <c r="F22" s="290">
        <v>3.0</v>
      </c>
      <c r="H22" s="22" t="s">
        <v>304</v>
      </c>
      <c r="I22" s="456">
        <v>3.0</v>
      </c>
      <c r="K22" s="22" t="s">
        <v>11</v>
      </c>
      <c r="L22" s="457">
        <v>2.0</v>
      </c>
      <c r="N22" s="22" t="s">
        <v>57</v>
      </c>
      <c r="O22" s="313">
        <v>1.0</v>
      </c>
      <c r="Q22" s="22" t="s">
        <v>11</v>
      </c>
      <c r="R22" s="460">
        <v>2.0</v>
      </c>
    </row>
    <row r="23" ht="14.25" customHeight="1">
      <c r="B23" s="22" t="s">
        <v>137</v>
      </c>
      <c r="C23" s="459">
        <v>4.0</v>
      </c>
      <c r="E23" s="22" t="s">
        <v>304</v>
      </c>
      <c r="F23" s="290">
        <v>3.0</v>
      </c>
      <c r="H23" s="22" t="s">
        <v>9</v>
      </c>
      <c r="I23" s="456">
        <v>2.0</v>
      </c>
      <c r="K23" s="22" t="s">
        <v>211</v>
      </c>
      <c r="L23" s="457">
        <v>1.0</v>
      </c>
      <c r="Q23" s="22" t="s">
        <v>304</v>
      </c>
      <c r="R23" s="460">
        <v>2.0</v>
      </c>
    </row>
    <row r="24" ht="14.25" customHeight="1">
      <c r="B24" s="22" t="s">
        <v>54</v>
      </c>
      <c r="C24" s="459">
        <v>3.0</v>
      </c>
      <c r="E24" s="22" t="s">
        <v>39</v>
      </c>
      <c r="F24" s="290">
        <v>2.0</v>
      </c>
      <c r="H24" s="22" t="s">
        <v>55</v>
      </c>
      <c r="I24" s="456">
        <v>2.0</v>
      </c>
      <c r="K24" s="22" t="s">
        <v>304</v>
      </c>
      <c r="L24" s="457">
        <v>1.0</v>
      </c>
      <c r="Q24" s="22" t="s">
        <v>39</v>
      </c>
      <c r="R24" s="460">
        <v>1.0</v>
      </c>
    </row>
    <row r="25" ht="14.25" customHeight="1">
      <c r="B25" s="22" t="s">
        <v>304</v>
      </c>
      <c r="C25" s="459">
        <v>3.0</v>
      </c>
      <c r="E25" s="22" t="s">
        <v>55</v>
      </c>
      <c r="F25" s="290">
        <v>1.0</v>
      </c>
      <c r="H25" s="22" t="s">
        <v>344</v>
      </c>
      <c r="I25" s="456">
        <v>1.0</v>
      </c>
      <c r="K25" s="22" t="s">
        <v>39</v>
      </c>
      <c r="L25" s="457">
        <v>1.0</v>
      </c>
      <c r="Q25" s="22" t="s">
        <v>9</v>
      </c>
      <c r="R25" s="460">
        <v>1.0</v>
      </c>
    </row>
    <row r="26" ht="14.25" customHeight="1">
      <c r="B26" s="22" t="s">
        <v>39</v>
      </c>
      <c r="C26" s="459">
        <v>2.0</v>
      </c>
      <c r="E26" s="22" t="s">
        <v>344</v>
      </c>
      <c r="F26" s="290">
        <v>1.0</v>
      </c>
      <c r="H26" s="22" t="s">
        <v>57</v>
      </c>
      <c r="I26" s="456">
        <v>1.0</v>
      </c>
      <c r="K26" s="22" t="s">
        <v>55</v>
      </c>
      <c r="L26" s="457">
        <v>1.0</v>
      </c>
      <c r="Q26" s="22"/>
    </row>
    <row r="27" ht="14.25" customHeight="1">
      <c r="B27" s="22" t="s">
        <v>55</v>
      </c>
      <c r="C27" s="459">
        <v>1.0</v>
      </c>
      <c r="E27" s="22" t="s">
        <v>6</v>
      </c>
      <c r="F27" s="290">
        <v>1.0</v>
      </c>
      <c r="H27" s="22" t="s">
        <v>11</v>
      </c>
      <c r="I27" s="456">
        <v>1.0</v>
      </c>
      <c r="K27" s="22" t="s">
        <v>344</v>
      </c>
      <c r="L27" s="457">
        <v>1.0</v>
      </c>
    </row>
    <row r="28" ht="14.25" customHeight="1">
      <c r="B28" s="22" t="s">
        <v>344</v>
      </c>
      <c r="C28" s="459">
        <v>1.0</v>
      </c>
      <c r="E28" s="22" t="s">
        <v>211</v>
      </c>
      <c r="F28" s="290">
        <v>1.0</v>
      </c>
      <c r="H28" s="22"/>
      <c r="I28" s="22"/>
      <c r="K28" s="22"/>
    </row>
    <row r="29" ht="14.25" customHeight="1">
      <c r="B29" s="22" t="s">
        <v>57</v>
      </c>
      <c r="C29" s="459">
        <v>1.0</v>
      </c>
      <c r="E29" s="22"/>
      <c r="H29" s="22"/>
      <c r="I29" s="22"/>
      <c r="K29" s="22"/>
    </row>
    <row r="30" ht="14.25" customHeight="1">
      <c r="B30" s="22" t="s">
        <v>211</v>
      </c>
      <c r="C30" s="459">
        <v>1.0</v>
      </c>
      <c r="E30" s="22"/>
      <c r="H30" s="22"/>
      <c r="I30" s="22"/>
    </row>
    <row r="31" ht="14.25" customHeight="1">
      <c r="B31" s="22"/>
      <c r="C31" s="22"/>
    </row>
    <row r="32" ht="14.25" customHeight="1">
      <c r="B32" s="22"/>
      <c r="C32" s="22"/>
    </row>
    <row r="33" ht="14.25" customHeight="1">
      <c r="B33" s="22"/>
      <c r="C33" s="22"/>
    </row>
    <row r="34" ht="14.25" customHeight="1">
      <c r="B34" s="22"/>
      <c r="C34" s="22"/>
      <c r="D34" s="22"/>
    </row>
    <row r="35" ht="14.25" customHeight="1">
      <c r="B35" s="22"/>
      <c r="C35" s="22"/>
      <c r="D35" s="22"/>
    </row>
    <row r="36" ht="14.25" customHeight="1">
      <c r="B36" s="22"/>
      <c r="C36" s="22"/>
      <c r="D36" s="22"/>
    </row>
    <row r="37" ht="14.25" customHeight="1">
      <c r="B37" s="22"/>
      <c r="C37" s="22"/>
      <c r="D37" s="22"/>
    </row>
    <row r="38" ht="14.25" customHeight="1">
      <c r="B38" s="22"/>
      <c r="C38" s="22"/>
      <c r="D38" s="22"/>
    </row>
    <row r="39" ht="14.25" customHeight="1">
      <c r="B39" s="22"/>
      <c r="C39" s="22"/>
      <c r="D39" s="22"/>
    </row>
    <row r="40" ht="14.25" customHeight="1">
      <c r="B40" s="22"/>
      <c r="C40" s="22"/>
      <c r="D40" s="22"/>
    </row>
    <row r="41" ht="14.25" customHeight="1">
      <c r="B41" s="22"/>
      <c r="C41" s="22"/>
      <c r="D41" s="22"/>
    </row>
    <row r="42" ht="14.25" customHeight="1">
      <c r="B42" s="22"/>
      <c r="C42" s="22"/>
      <c r="D42" s="22"/>
    </row>
    <row r="43" ht="14.25" customHeight="1">
      <c r="B43" s="22"/>
      <c r="C43" s="22"/>
      <c r="D43" s="22"/>
    </row>
    <row r="44" ht="14.25" customHeight="1">
      <c r="B44" s="22"/>
      <c r="C44" s="22"/>
      <c r="D44" s="22"/>
    </row>
    <row r="45" ht="14.25" customHeight="1">
      <c r="B45" s="22"/>
      <c r="C45" s="22"/>
      <c r="D45" s="22"/>
    </row>
    <row r="46" ht="14.25" customHeight="1">
      <c r="B46" s="22"/>
      <c r="C46" s="22"/>
      <c r="D46" s="22"/>
    </row>
    <row r="47" ht="14.25" customHeight="1">
      <c r="B47" s="22"/>
      <c r="C47" s="22"/>
      <c r="D47" s="22"/>
    </row>
    <row r="48" ht="14.25" customHeight="1">
      <c r="B48" s="22"/>
      <c r="C48" s="22"/>
      <c r="D48" s="22"/>
    </row>
    <row r="49" ht="14.25" customHeight="1">
      <c r="B49" s="22"/>
      <c r="C49" s="22"/>
      <c r="D49" s="22"/>
    </row>
    <row r="50" ht="14.25" customHeight="1">
      <c r="B50" s="22"/>
      <c r="C50" s="22"/>
      <c r="D50" s="22"/>
    </row>
    <row r="51" ht="14.25" customHeight="1">
      <c r="B51" s="22"/>
      <c r="C51" s="22"/>
      <c r="D51" s="22"/>
    </row>
    <row r="52" ht="14.25" customHeight="1">
      <c r="B52" s="22"/>
      <c r="C52" s="22"/>
      <c r="D52" s="22"/>
    </row>
    <row r="53" ht="14.25" customHeight="1">
      <c r="B53" s="22"/>
      <c r="C53" s="22"/>
      <c r="D53" s="22"/>
    </row>
    <row r="54" ht="14.25" customHeight="1">
      <c r="B54" s="22"/>
      <c r="C54" s="22"/>
      <c r="D54" s="22"/>
    </row>
    <row r="55" ht="14.25" customHeight="1">
      <c r="B55" s="22"/>
      <c r="C55" s="22"/>
      <c r="D55" s="22"/>
    </row>
    <row r="56" ht="14.25" customHeight="1">
      <c r="B56" s="22"/>
      <c r="C56" s="22"/>
    </row>
    <row r="57" ht="14.25" customHeight="1">
      <c r="B57" s="22"/>
      <c r="C57" s="22"/>
    </row>
    <row r="58" ht="14.25" customHeight="1">
      <c r="B58" s="22"/>
      <c r="C58" s="22"/>
    </row>
    <row r="59" ht="14.25" customHeight="1">
      <c r="B59" s="22"/>
      <c r="C59" s="22"/>
    </row>
    <row r="60" ht="14.25" customHeight="1">
      <c r="B60" s="22"/>
      <c r="C60" s="22"/>
    </row>
    <row r="61" ht="14.25" customHeight="1">
      <c r="B61" s="22"/>
      <c r="C61" s="22"/>
    </row>
    <row r="62" ht="14.25" customHeight="1">
      <c r="B62" s="22"/>
      <c r="C62" s="22"/>
    </row>
    <row r="63" ht="14.25" customHeight="1">
      <c r="B63" s="22"/>
      <c r="C63" s="22"/>
    </row>
    <row r="64" ht="14.25" customHeight="1">
      <c r="B64" s="22"/>
      <c r="C64" s="22"/>
    </row>
    <row r="65" ht="14.25" customHeight="1">
      <c r="B65" s="22"/>
      <c r="C65" s="22"/>
    </row>
    <row r="66" ht="14.25" customHeight="1">
      <c r="B66" s="22"/>
      <c r="C66" s="22"/>
    </row>
    <row r="67" ht="14.25" customHeight="1">
      <c r="B67" s="22"/>
      <c r="C67" s="22"/>
    </row>
    <row r="68" ht="14.25" customHeight="1">
      <c r="B68" s="22"/>
      <c r="C68" s="22"/>
    </row>
    <row r="69" ht="14.25" customHeight="1">
      <c r="B69" s="22"/>
      <c r="C69" s="22"/>
    </row>
    <row r="70" ht="14.25" customHeight="1">
      <c r="B70" s="22"/>
      <c r="C70" s="22"/>
    </row>
    <row r="71" ht="14.25" customHeight="1">
      <c r="B71" s="22"/>
      <c r="C71" s="22"/>
    </row>
    <row r="72" ht="14.25" customHeight="1">
      <c r="B72" s="22"/>
      <c r="C72" s="22"/>
    </row>
    <row r="73" ht="14.25" customHeight="1">
      <c r="B73" s="22"/>
      <c r="C73" s="22"/>
    </row>
    <row r="74" ht="14.25" customHeight="1">
      <c r="B74" s="22"/>
      <c r="C74" s="22"/>
    </row>
    <row r="75" ht="14.25" customHeight="1">
      <c r="B75" s="22"/>
      <c r="C75" s="22"/>
    </row>
    <row r="76" ht="14.25" customHeight="1">
      <c r="B76" s="22"/>
      <c r="C76" s="22"/>
    </row>
    <row r="77" ht="14.25" customHeight="1">
      <c r="B77" s="22"/>
      <c r="C77" s="22"/>
    </row>
    <row r="78" ht="14.25" customHeight="1">
      <c r="B78" s="22"/>
      <c r="C78" s="22"/>
    </row>
    <row r="79" ht="14.25" customHeight="1">
      <c r="B79" s="22"/>
      <c r="C79" s="22"/>
    </row>
    <row r="80" ht="14.25" customHeight="1">
      <c r="B80" s="22"/>
      <c r="C80" s="22"/>
    </row>
    <row r="81" ht="14.25" customHeight="1">
      <c r="B81" s="22"/>
      <c r="C81" s="22"/>
    </row>
    <row r="82" ht="14.25" customHeight="1">
      <c r="B82" s="22"/>
      <c r="C82" s="22"/>
    </row>
    <row r="83" ht="14.25" customHeight="1">
      <c r="B83" s="22"/>
      <c r="C83" s="22"/>
    </row>
    <row r="84" ht="14.25" customHeight="1">
      <c r="B84" s="22"/>
      <c r="C84" s="22"/>
    </row>
    <row r="85" ht="14.25" customHeight="1">
      <c r="B85" s="22"/>
      <c r="C85" s="22"/>
    </row>
    <row r="86" ht="14.25" customHeight="1">
      <c r="B86" s="22"/>
      <c r="C86" s="22"/>
    </row>
    <row r="87" ht="14.25" customHeight="1">
      <c r="B87" s="22"/>
      <c r="C87" s="22"/>
    </row>
    <row r="88" ht="14.25" customHeight="1">
      <c r="B88" s="22"/>
      <c r="C88" s="22"/>
    </row>
    <row r="89" ht="14.25" customHeight="1">
      <c r="B89" s="22"/>
      <c r="C89" s="22"/>
    </row>
    <row r="90" ht="14.25" customHeight="1">
      <c r="B90" s="22"/>
      <c r="C90" s="22"/>
    </row>
    <row r="91" ht="14.25" customHeight="1">
      <c r="B91" s="22"/>
      <c r="C91" s="22"/>
    </row>
    <row r="92" ht="14.25" customHeight="1">
      <c r="B92" s="22"/>
      <c r="C92" s="22"/>
    </row>
    <row r="93" ht="14.25" customHeight="1">
      <c r="B93" s="22"/>
      <c r="C93" s="22"/>
    </row>
    <row r="94" ht="14.25" customHeight="1">
      <c r="B94" s="22"/>
      <c r="C94" s="22"/>
    </row>
    <row r="95" ht="14.25" customHeight="1">
      <c r="B95" s="22"/>
      <c r="C95" s="22"/>
    </row>
    <row r="96" ht="14.25" customHeight="1">
      <c r="B96" s="22"/>
      <c r="C96" s="22"/>
    </row>
    <row r="97" ht="14.25" customHeight="1">
      <c r="B97" s="22"/>
      <c r="C97" s="22"/>
    </row>
    <row r="98" ht="14.25" customHeight="1">
      <c r="B98" s="22"/>
      <c r="C98" s="22"/>
    </row>
    <row r="99" ht="14.25" customHeight="1">
      <c r="B99" s="22"/>
      <c r="C99" s="22"/>
    </row>
    <row r="100" ht="14.25" customHeight="1">
      <c r="B100" s="22"/>
      <c r="C100" s="22"/>
    </row>
    <row r="101" ht="14.25" customHeight="1">
      <c r="B101" s="22"/>
      <c r="C101" s="22"/>
    </row>
    <row r="102" ht="14.25" customHeight="1">
      <c r="B102" s="22"/>
      <c r="C102" s="22"/>
    </row>
    <row r="103" ht="14.25" customHeight="1">
      <c r="B103" s="22"/>
      <c r="C103" s="22"/>
    </row>
    <row r="104" ht="14.25" customHeight="1">
      <c r="B104" s="22"/>
      <c r="C104" s="22"/>
    </row>
    <row r="105" ht="14.25" customHeight="1">
      <c r="B105" s="22"/>
      <c r="C105" s="22"/>
    </row>
    <row r="106" ht="14.25" customHeight="1">
      <c r="B106" s="22"/>
      <c r="C106" s="22"/>
    </row>
    <row r="107" ht="14.25" customHeight="1">
      <c r="B107" s="22"/>
      <c r="C107" s="22"/>
    </row>
    <row r="108" ht="14.25" customHeight="1">
      <c r="B108" s="22"/>
      <c r="C108" s="22"/>
    </row>
    <row r="109" ht="14.25" customHeight="1">
      <c r="B109" s="22"/>
      <c r="C109" s="22"/>
    </row>
    <row r="110" ht="14.25" customHeight="1">
      <c r="B110" s="22"/>
      <c r="C110" s="22"/>
    </row>
    <row r="111" ht="14.25" customHeight="1">
      <c r="B111" s="22"/>
      <c r="C111" s="22"/>
    </row>
    <row r="112" ht="14.25" customHeight="1">
      <c r="B112" s="22"/>
      <c r="C112" s="22"/>
    </row>
    <row r="113" ht="14.25" customHeight="1">
      <c r="B113" s="22"/>
      <c r="C113" s="22"/>
    </row>
    <row r="114" ht="14.25" customHeight="1">
      <c r="B114" s="22"/>
      <c r="C114" s="22"/>
    </row>
    <row r="115" ht="14.25" customHeight="1">
      <c r="B115" s="22"/>
      <c r="C115" s="22"/>
    </row>
    <row r="116" ht="14.25" customHeight="1">
      <c r="B116" s="22"/>
      <c r="C116" s="22"/>
    </row>
    <row r="117" ht="14.25" customHeight="1">
      <c r="B117" s="22"/>
      <c r="C117" s="22"/>
    </row>
    <row r="118" ht="14.25" customHeight="1">
      <c r="B118" s="22"/>
      <c r="C118" s="22"/>
    </row>
    <row r="119" ht="14.25" customHeight="1">
      <c r="B119" s="22"/>
      <c r="C119" s="22"/>
    </row>
    <row r="120" ht="14.25" customHeight="1">
      <c r="B120" s="22"/>
      <c r="C120" s="22"/>
    </row>
    <row r="121" ht="14.25" customHeight="1">
      <c r="B121" s="22"/>
      <c r="C121" s="22"/>
    </row>
    <row r="122" ht="14.25" customHeight="1">
      <c r="B122" s="22"/>
      <c r="C122" s="22"/>
    </row>
    <row r="123" ht="14.25" customHeight="1">
      <c r="B123" s="22"/>
      <c r="C123" s="22"/>
    </row>
    <row r="124" ht="14.25" customHeight="1">
      <c r="B124" s="22"/>
      <c r="C124" s="22"/>
    </row>
    <row r="125" ht="14.25" customHeight="1">
      <c r="B125" s="22"/>
      <c r="C125" s="22"/>
    </row>
    <row r="126" ht="14.25" customHeight="1">
      <c r="B126" s="22"/>
      <c r="C126" s="22"/>
    </row>
    <row r="127" ht="14.25" customHeight="1">
      <c r="B127" s="22"/>
      <c r="C127" s="22"/>
    </row>
    <row r="128" ht="14.25" customHeight="1">
      <c r="B128" s="22"/>
      <c r="C128" s="22"/>
    </row>
    <row r="129" ht="14.25" customHeight="1">
      <c r="B129" s="22"/>
      <c r="C129" s="22"/>
    </row>
    <row r="130" ht="14.25" customHeight="1">
      <c r="B130" s="22"/>
      <c r="C130" s="22"/>
    </row>
    <row r="131" ht="14.25" customHeight="1">
      <c r="B131" s="22"/>
      <c r="C131" s="22"/>
    </row>
    <row r="132" ht="14.25" customHeight="1">
      <c r="B132" s="22"/>
      <c r="C132" s="22"/>
    </row>
    <row r="133" ht="14.25" customHeight="1">
      <c r="B133" s="22"/>
      <c r="C133" s="22"/>
    </row>
    <row r="134" ht="14.25" customHeight="1">
      <c r="B134" s="22"/>
      <c r="C134" s="22"/>
    </row>
    <row r="135" ht="14.25" customHeight="1">
      <c r="B135" s="22"/>
      <c r="C135" s="22"/>
    </row>
    <row r="136" ht="14.25" customHeight="1">
      <c r="B136" s="22"/>
      <c r="C136" s="22"/>
    </row>
    <row r="137" ht="14.25" customHeight="1">
      <c r="B137" s="22"/>
      <c r="C137" s="22"/>
    </row>
    <row r="138" ht="14.25" customHeight="1">
      <c r="B138" s="22"/>
      <c r="C138" s="22"/>
    </row>
    <row r="139" ht="14.25" customHeight="1">
      <c r="B139" s="22"/>
      <c r="C139" s="22"/>
    </row>
    <row r="140" ht="14.25" customHeight="1">
      <c r="B140" s="22"/>
      <c r="C140" s="22"/>
    </row>
    <row r="141" ht="14.25" customHeight="1">
      <c r="B141" s="22"/>
      <c r="C141" s="22"/>
    </row>
    <row r="142" ht="14.25" customHeight="1">
      <c r="B142" s="22"/>
      <c r="C142" s="22"/>
    </row>
    <row r="143" ht="14.25" customHeight="1">
      <c r="B143" s="22"/>
      <c r="C143" s="22"/>
    </row>
    <row r="144" ht="14.25" customHeight="1">
      <c r="B144" s="22"/>
      <c r="C144" s="22"/>
    </row>
    <row r="145" ht="14.25" customHeight="1">
      <c r="B145" s="22"/>
      <c r="C145" s="22"/>
    </row>
    <row r="146" ht="14.25" customHeight="1">
      <c r="B146" s="22"/>
      <c r="C146" s="22"/>
    </row>
    <row r="147" ht="14.25" customHeight="1">
      <c r="B147" s="22"/>
      <c r="C147" s="22"/>
    </row>
    <row r="148" ht="14.25" customHeight="1">
      <c r="B148" s="22"/>
      <c r="C148" s="22"/>
    </row>
    <row r="149" ht="14.25" customHeight="1">
      <c r="B149" s="22"/>
      <c r="C149" s="22"/>
    </row>
    <row r="150" ht="14.25" customHeight="1">
      <c r="B150" s="22"/>
      <c r="C150" s="22"/>
    </row>
    <row r="151" ht="14.25" customHeight="1">
      <c r="B151" s="22"/>
      <c r="C151" s="22"/>
    </row>
    <row r="152" ht="14.25" customHeight="1">
      <c r="B152" s="22"/>
      <c r="C152" s="22"/>
    </row>
    <row r="153" ht="14.25" customHeight="1">
      <c r="B153" s="22"/>
      <c r="C153" s="22"/>
    </row>
    <row r="154" ht="14.25" customHeight="1">
      <c r="B154" s="22"/>
      <c r="C154" s="22"/>
    </row>
    <row r="155" ht="14.25" customHeight="1">
      <c r="B155" s="22"/>
      <c r="C155" s="22"/>
    </row>
    <row r="156" ht="14.25" customHeight="1">
      <c r="B156" s="22"/>
      <c r="C156" s="22"/>
    </row>
    <row r="157" ht="14.25" customHeight="1">
      <c r="B157" s="22"/>
      <c r="C157" s="22"/>
    </row>
    <row r="158" ht="14.25" customHeight="1">
      <c r="B158" s="22"/>
      <c r="C158" s="22"/>
    </row>
    <row r="159" ht="14.25" customHeight="1">
      <c r="B159" s="22"/>
      <c r="C159" s="22"/>
    </row>
    <row r="160" ht="14.25" customHeight="1">
      <c r="B160" s="22"/>
      <c r="C160" s="22"/>
    </row>
    <row r="161" ht="14.25" customHeight="1">
      <c r="B161" s="22"/>
      <c r="C161" s="22"/>
    </row>
    <row r="162" ht="14.25" customHeight="1">
      <c r="B162" s="22"/>
      <c r="C162" s="22"/>
    </row>
    <row r="163" ht="14.25" customHeight="1">
      <c r="B163" s="22"/>
      <c r="C163" s="22"/>
    </row>
    <row r="164" ht="14.25" customHeight="1">
      <c r="B164" s="22"/>
      <c r="C164" s="22"/>
    </row>
    <row r="165" ht="14.25" customHeight="1">
      <c r="B165" s="22"/>
      <c r="C165" s="22"/>
    </row>
    <row r="166" ht="14.25" customHeight="1">
      <c r="B166" s="22"/>
      <c r="C166" s="22"/>
    </row>
    <row r="167" ht="14.25" customHeight="1">
      <c r="B167" s="22"/>
      <c r="C167" s="22"/>
    </row>
    <row r="168" ht="14.25" customHeight="1">
      <c r="B168" s="22"/>
      <c r="C168" s="22"/>
    </row>
    <row r="169" ht="14.25" customHeight="1">
      <c r="B169" s="22"/>
      <c r="C169" s="22"/>
    </row>
    <row r="170" ht="14.25" customHeight="1">
      <c r="B170" s="22"/>
      <c r="C170" s="22"/>
    </row>
    <row r="171" ht="14.25" customHeight="1">
      <c r="B171" s="22"/>
      <c r="C171" s="22"/>
    </row>
    <row r="172" ht="14.25" customHeight="1">
      <c r="B172" s="22"/>
      <c r="C172" s="22"/>
    </row>
    <row r="173" ht="14.25" customHeight="1">
      <c r="B173" s="22"/>
      <c r="C173" s="22"/>
    </row>
    <row r="174" ht="14.25" customHeight="1">
      <c r="B174" s="22"/>
      <c r="C174" s="22"/>
    </row>
    <row r="175" ht="14.25" customHeight="1">
      <c r="B175" s="22"/>
      <c r="C175" s="22"/>
    </row>
    <row r="176" ht="14.25" customHeight="1">
      <c r="B176" s="22"/>
      <c r="C176" s="22"/>
    </row>
    <row r="177" ht="14.25" customHeight="1">
      <c r="B177" s="22"/>
      <c r="C177" s="22"/>
    </row>
    <row r="178" ht="14.25" customHeight="1">
      <c r="B178" s="22"/>
      <c r="C178" s="22"/>
    </row>
    <row r="179" ht="14.25" customHeight="1">
      <c r="B179" s="22"/>
      <c r="C179" s="22"/>
    </row>
    <row r="180" ht="14.25" customHeight="1">
      <c r="B180" s="22"/>
      <c r="C180" s="22"/>
    </row>
    <row r="181" ht="14.25" customHeight="1">
      <c r="B181" s="22"/>
      <c r="C181" s="22"/>
    </row>
    <row r="182" ht="14.25" customHeight="1">
      <c r="B182" s="22"/>
      <c r="C182" s="22"/>
    </row>
    <row r="183" ht="14.25" customHeight="1">
      <c r="B183" s="22"/>
      <c r="C183" s="22"/>
    </row>
    <row r="184" ht="14.25" customHeight="1">
      <c r="B184" s="22"/>
      <c r="C184" s="22"/>
    </row>
    <row r="185" ht="14.25" customHeight="1">
      <c r="B185" s="22"/>
      <c r="C185" s="22"/>
    </row>
    <row r="186" ht="14.25" customHeight="1">
      <c r="B186" s="22"/>
      <c r="C186" s="22"/>
    </row>
    <row r="187" ht="14.25" customHeight="1">
      <c r="B187" s="22"/>
      <c r="C187" s="22"/>
    </row>
    <row r="188" ht="14.25" customHeight="1">
      <c r="B188" s="22"/>
      <c r="C188" s="22"/>
    </row>
    <row r="189" ht="14.25" customHeight="1">
      <c r="B189" s="22"/>
      <c r="C189" s="22"/>
    </row>
    <row r="190" ht="14.25" customHeight="1">
      <c r="B190" s="22"/>
      <c r="C190" s="22"/>
    </row>
    <row r="191" ht="14.25" customHeight="1">
      <c r="B191" s="22"/>
      <c r="C191" s="22"/>
    </row>
    <row r="192" ht="14.25" customHeight="1">
      <c r="B192" s="22"/>
      <c r="C192" s="22"/>
    </row>
    <row r="193" ht="14.25" customHeight="1">
      <c r="B193" s="22"/>
      <c r="C193" s="22"/>
    </row>
    <row r="194" ht="14.25" customHeight="1">
      <c r="B194" s="22"/>
      <c r="C194" s="22"/>
    </row>
    <row r="195" ht="14.25" customHeight="1">
      <c r="B195" s="22"/>
      <c r="C195" s="22"/>
    </row>
    <row r="196" ht="14.25" customHeight="1">
      <c r="B196" s="22"/>
      <c r="C196" s="22"/>
    </row>
    <row r="197" ht="14.25" customHeight="1">
      <c r="B197" s="22"/>
      <c r="C197" s="22"/>
    </row>
    <row r="198" ht="14.25" customHeight="1">
      <c r="B198" s="22"/>
      <c r="C198" s="22"/>
    </row>
    <row r="199" ht="14.25" customHeight="1">
      <c r="B199" s="22"/>
      <c r="C199" s="22"/>
    </row>
    <row r="200" ht="14.25" customHeight="1">
      <c r="B200" s="22"/>
      <c r="C200" s="22"/>
    </row>
    <row r="201" ht="14.25" customHeight="1">
      <c r="B201" s="22"/>
      <c r="C201" s="22"/>
    </row>
    <row r="202" ht="14.25" customHeight="1">
      <c r="B202" s="22"/>
      <c r="C202" s="22"/>
    </row>
    <row r="203" ht="14.25" customHeight="1">
      <c r="B203" s="22"/>
      <c r="C203" s="22"/>
    </row>
    <row r="204" ht="14.25" customHeight="1">
      <c r="B204" s="22"/>
      <c r="C204" s="22"/>
    </row>
    <row r="205" ht="14.25" customHeight="1">
      <c r="B205" s="22"/>
      <c r="C205" s="22"/>
    </row>
    <row r="206" ht="14.25" customHeight="1">
      <c r="B206" s="22"/>
      <c r="C206" s="22"/>
    </row>
    <row r="207" ht="14.25" customHeight="1">
      <c r="B207" s="22"/>
      <c r="C207" s="22"/>
    </row>
    <row r="208" ht="14.25" customHeight="1">
      <c r="B208" s="22"/>
      <c r="C208" s="22"/>
    </row>
    <row r="209" ht="14.25" customHeight="1">
      <c r="B209" s="22"/>
      <c r="C209" s="22"/>
    </row>
    <row r="210" ht="14.25" customHeight="1">
      <c r="B210" s="22"/>
      <c r="C210" s="22"/>
    </row>
    <row r="211" ht="14.25" customHeight="1">
      <c r="B211" s="22"/>
      <c r="C211" s="22"/>
    </row>
    <row r="212" ht="14.25" customHeight="1">
      <c r="B212" s="22"/>
      <c r="C212" s="22"/>
    </row>
    <row r="213" ht="14.25" customHeight="1">
      <c r="B213" s="22"/>
      <c r="C213" s="22"/>
    </row>
    <row r="214" ht="14.25" customHeight="1">
      <c r="B214" s="22"/>
      <c r="C214" s="22"/>
    </row>
    <row r="215" ht="14.25" customHeight="1">
      <c r="B215" s="22"/>
      <c r="C215" s="22"/>
    </row>
    <row r="216" ht="14.25" customHeight="1">
      <c r="B216" s="22"/>
      <c r="C216" s="22"/>
    </row>
    <row r="217" ht="14.25" customHeight="1">
      <c r="B217" s="22"/>
      <c r="C217" s="22"/>
    </row>
    <row r="218" ht="14.25" customHeight="1">
      <c r="B218" s="22"/>
      <c r="C218" s="22"/>
    </row>
    <row r="219" ht="14.25" customHeight="1">
      <c r="B219" s="22"/>
      <c r="C219" s="22"/>
    </row>
    <row r="220" ht="14.25" customHeight="1">
      <c r="B220" s="22"/>
      <c r="C220" s="22"/>
    </row>
    <row r="221" ht="14.25" customHeight="1">
      <c r="B221" s="22"/>
      <c r="C221" s="22"/>
    </row>
    <row r="222" ht="14.25" customHeight="1">
      <c r="B222" s="22"/>
      <c r="C222" s="22"/>
    </row>
    <row r="223" ht="14.25" customHeight="1">
      <c r="B223" s="22"/>
      <c r="C223" s="22"/>
    </row>
    <row r="224" ht="14.25" customHeight="1">
      <c r="B224" s="22"/>
      <c r="C224" s="22"/>
    </row>
    <row r="225" ht="14.25" customHeight="1">
      <c r="B225" s="22"/>
      <c r="C225" s="22"/>
    </row>
    <row r="226" ht="14.25" customHeight="1">
      <c r="B226" s="22"/>
      <c r="C226" s="22"/>
    </row>
    <row r="227" ht="14.25" customHeight="1">
      <c r="B227" s="22"/>
      <c r="C227" s="22"/>
    </row>
    <row r="228" ht="14.25" customHeight="1">
      <c r="B228" s="22"/>
      <c r="C228" s="22"/>
    </row>
    <row r="229" ht="14.25" customHeight="1">
      <c r="B229" s="22"/>
      <c r="C229" s="22"/>
    </row>
    <row r="230" ht="14.25" customHeight="1">
      <c r="B230" s="22"/>
      <c r="C230" s="22"/>
    </row>
    <row r="231" ht="14.25" customHeight="1">
      <c r="B231" s="22"/>
      <c r="C231" s="22"/>
    </row>
    <row r="232" ht="14.25" customHeight="1">
      <c r="B232" s="22"/>
      <c r="C232" s="22"/>
    </row>
    <row r="233" ht="14.25" customHeight="1">
      <c r="B233" s="22"/>
      <c r="C233" s="22"/>
    </row>
    <row r="234" ht="14.25" customHeight="1">
      <c r="B234" s="22"/>
      <c r="C234" s="22"/>
    </row>
    <row r="235" ht="14.25" customHeight="1">
      <c r="B235" s="22"/>
      <c r="C235" s="22"/>
    </row>
    <row r="236" ht="14.25" customHeight="1">
      <c r="B236" s="22"/>
      <c r="C236" s="22"/>
    </row>
    <row r="237" ht="14.25" customHeight="1">
      <c r="B237" s="22"/>
      <c r="C237" s="22"/>
    </row>
    <row r="238" ht="14.25" customHeight="1">
      <c r="B238" s="22"/>
      <c r="C238" s="22"/>
    </row>
    <row r="239" ht="14.25" customHeight="1">
      <c r="B239" s="22"/>
      <c r="C239" s="22"/>
    </row>
    <row r="240" ht="14.25" customHeight="1">
      <c r="B240" s="22"/>
      <c r="C240" s="22"/>
    </row>
    <row r="241" ht="14.25" customHeight="1">
      <c r="B241" s="22"/>
      <c r="C241" s="22"/>
    </row>
    <row r="242" ht="14.25" customHeight="1">
      <c r="B242" s="22"/>
      <c r="C242" s="22"/>
    </row>
    <row r="243" ht="14.25" customHeight="1">
      <c r="B243" s="22"/>
      <c r="C243" s="22"/>
    </row>
    <row r="244" ht="14.25" customHeight="1">
      <c r="B244" s="22"/>
      <c r="C244" s="22"/>
    </row>
    <row r="245" ht="14.25" customHeight="1">
      <c r="B245" s="22"/>
      <c r="C245" s="22"/>
    </row>
    <row r="246" ht="14.25" customHeight="1">
      <c r="B246" s="22"/>
      <c r="C246" s="22"/>
    </row>
    <row r="247" ht="14.25" customHeight="1">
      <c r="B247" s="22"/>
      <c r="C247" s="22"/>
    </row>
    <row r="248" ht="14.25" customHeight="1">
      <c r="B248" s="22"/>
      <c r="C248" s="22"/>
    </row>
    <row r="249" ht="14.25" customHeight="1">
      <c r="B249" s="22"/>
      <c r="C249" s="22"/>
    </row>
    <row r="250" ht="14.25" customHeight="1">
      <c r="B250" s="22"/>
      <c r="C250" s="22"/>
    </row>
    <row r="251" ht="14.25" customHeight="1">
      <c r="B251" s="22"/>
      <c r="C251" s="22"/>
    </row>
    <row r="252" ht="14.25" customHeight="1">
      <c r="B252" s="22"/>
      <c r="C252" s="22"/>
    </row>
    <row r="253" ht="14.25" customHeight="1">
      <c r="B253" s="22"/>
      <c r="C253" s="22"/>
    </row>
    <row r="254" ht="14.25" customHeight="1">
      <c r="B254" s="22"/>
      <c r="C254" s="22"/>
    </row>
    <row r="255" ht="14.25" customHeight="1">
      <c r="B255" s="22"/>
      <c r="C255" s="22"/>
    </row>
    <row r="256" ht="14.25" customHeight="1">
      <c r="B256" s="22"/>
      <c r="C256" s="22"/>
    </row>
    <row r="257" ht="14.25" customHeight="1">
      <c r="B257" s="22"/>
      <c r="C257" s="22"/>
    </row>
    <row r="258" ht="14.25" customHeight="1">
      <c r="B258" s="22"/>
      <c r="C258" s="22"/>
    </row>
    <row r="259" ht="14.25" customHeight="1">
      <c r="B259" s="22"/>
      <c r="C259" s="22"/>
    </row>
    <row r="260" ht="14.25" customHeight="1">
      <c r="B260" s="22"/>
      <c r="C260" s="22"/>
    </row>
    <row r="261" ht="14.25" customHeight="1">
      <c r="B261" s="22"/>
      <c r="C261" s="22"/>
    </row>
    <row r="262" ht="14.25" customHeight="1">
      <c r="B262" s="22"/>
      <c r="C262" s="22"/>
    </row>
    <row r="263" ht="14.25" customHeight="1">
      <c r="B263" s="22"/>
      <c r="C263" s="22"/>
    </row>
    <row r="264" ht="14.25" customHeight="1">
      <c r="B264" s="22"/>
      <c r="C264" s="22"/>
    </row>
    <row r="265" ht="14.25" customHeight="1">
      <c r="B265" s="22"/>
      <c r="C265" s="22"/>
    </row>
    <row r="266" ht="14.25" customHeight="1">
      <c r="B266" s="22"/>
      <c r="C266" s="22"/>
    </row>
    <row r="267" ht="14.25" customHeight="1">
      <c r="B267" s="22"/>
      <c r="C267" s="22"/>
    </row>
    <row r="268" ht="14.25" customHeight="1">
      <c r="B268" s="22"/>
      <c r="C268" s="22"/>
    </row>
    <row r="269" ht="14.25" customHeight="1">
      <c r="B269" s="22"/>
      <c r="C269" s="22"/>
    </row>
    <row r="270" ht="14.25" customHeight="1">
      <c r="B270" s="22"/>
      <c r="C270" s="22"/>
    </row>
    <row r="271" ht="14.25" customHeight="1">
      <c r="B271" s="22"/>
      <c r="C271" s="22"/>
    </row>
    <row r="272" ht="14.25" customHeight="1">
      <c r="B272" s="22"/>
      <c r="C272" s="22"/>
    </row>
    <row r="273" ht="14.25" customHeight="1">
      <c r="B273" s="22"/>
      <c r="C273" s="22"/>
    </row>
    <row r="274" ht="14.25" customHeight="1">
      <c r="B274" s="22"/>
      <c r="C274" s="22"/>
    </row>
    <row r="275" ht="14.25" customHeight="1">
      <c r="B275" s="22"/>
      <c r="C275" s="22"/>
    </row>
    <row r="276" ht="14.25" customHeight="1">
      <c r="B276" s="22"/>
      <c r="C276" s="22"/>
    </row>
    <row r="277" ht="14.25" customHeight="1">
      <c r="B277" s="22"/>
      <c r="C277" s="22"/>
    </row>
    <row r="278" ht="14.25" customHeight="1">
      <c r="B278" s="22"/>
      <c r="C278" s="22"/>
    </row>
    <row r="279" ht="14.25" customHeight="1">
      <c r="B279" s="22"/>
      <c r="C279" s="22"/>
    </row>
    <row r="280" ht="14.25" customHeight="1">
      <c r="B280" s="22"/>
      <c r="C280" s="22"/>
    </row>
    <row r="281" ht="14.25" customHeight="1">
      <c r="B281" s="22"/>
      <c r="C281" s="22"/>
    </row>
    <row r="282" ht="14.25" customHeight="1">
      <c r="B282" s="22"/>
      <c r="C282" s="22"/>
    </row>
    <row r="283" ht="14.25" customHeight="1">
      <c r="B283" s="22"/>
      <c r="C283" s="22"/>
    </row>
    <row r="284" ht="14.25" customHeight="1">
      <c r="B284" s="22"/>
      <c r="C284" s="22"/>
    </row>
    <row r="285" ht="14.25" customHeight="1">
      <c r="B285" s="22"/>
      <c r="C285" s="22"/>
    </row>
    <row r="286" ht="14.25" customHeight="1">
      <c r="B286" s="22"/>
      <c r="C286" s="22"/>
    </row>
    <row r="287" ht="14.25" customHeight="1">
      <c r="B287" s="22"/>
      <c r="C287" s="22"/>
    </row>
    <row r="288" ht="14.25" customHeight="1">
      <c r="B288" s="22"/>
      <c r="C288" s="22"/>
    </row>
    <row r="289" ht="14.25" customHeight="1">
      <c r="B289" s="22"/>
      <c r="C289" s="22"/>
    </row>
    <row r="290" ht="14.25" customHeight="1">
      <c r="B290" s="22"/>
      <c r="C290" s="22"/>
    </row>
    <row r="291" ht="14.25" customHeight="1">
      <c r="B291" s="22"/>
      <c r="C291" s="22"/>
    </row>
    <row r="292" ht="14.25" customHeight="1">
      <c r="B292" s="22"/>
      <c r="C292" s="22"/>
    </row>
    <row r="293" ht="14.25" customHeight="1">
      <c r="B293" s="22"/>
      <c r="C293" s="22"/>
    </row>
    <row r="294" ht="14.25" customHeight="1">
      <c r="B294" s="22"/>
      <c r="C294" s="22"/>
    </row>
    <row r="295" ht="14.25" customHeight="1">
      <c r="B295" s="22"/>
      <c r="C295" s="22"/>
    </row>
    <row r="296" ht="14.25" customHeight="1">
      <c r="B296" s="22"/>
      <c r="C296" s="22"/>
    </row>
    <row r="297" ht="14.25" customHeight="1">
      <c r="B297" s="22"/>
      <c r="C297" s="22"/>
    </row>
    <row r="298" ht="14.25" customHeight="1">
      <c r="B298" s="22"/>
      <c r="C298" s="22"/>
    </row>
    <row r="299" ht="14.25" customHeight="1">
      <c r="B299" s="22"/>
      <c r="C299" s="22"/>
    </row>
    <row r="300" ht="14.25" customHeight="1">
      <c r="B300" s="22"/>
      <c r="C300" s="22"/>
    </row>
    <row r="301" ht="14.25" customHeight="1">
      <c r="B301" s="22"/>
      <c r="C301" s="22"/>
    </row>
    <row r="302" ht="14.25" customHeight="1">
      <c r="B302" s="22"/>
      <c r="C302" s="22"/>
    </row>
    <row r="303" ht="14.25" customHeight="1">
      <c r="B303" s="22"/>
      <c r="C303" s="22"/>
    </row>
    <row r="304" ht="14.25" customHeight="1">
      <c r="B304" s="22"/>
      <c r="C304" s="22"/>
    </row>
    <row r="305" ht="14.25" customHeight="1">
      <c r="B305" s="22"/>
      <c r="C305" s="22"/>
    </row>
    <row r="306" ht="14.25" customHeight="1">
      <c r="B306" s="22"/>
      <c r="C306" s="22"/>
    </row>
    <row r="307" ht="14.25" customHeight="1">
      <c r="B307" s="22"/>
      <c r="C307" s="22"/>
    </row>
    <row r="308" ht="14.25" customHeight="1">
      <c r="B308" s="22"/>
      <c r="C308" s="22"/>
    </row>
    <row r="309" ht="14.25" customHeight="1">
      <c r="B309" s="22"/>
      <c r="C309" s="22"/>
    </row>
    <row r="310" ht="14.25" customHeight="1">
      <c r="B310" s="22"/>
      <c r="C310" s="22"/>
    </row>
    <row r="311" ht="14.25" customHeight="1">
      <c r="B311" s="22"/>
      <c r="C311" s="22"/>
    </row>
    <row r="312" ht="14.25" customHeight="1">
      <c r="B312" s="22"/>
      <c r="C312" s="22"/>
    </row>
    <row r="313" ht="14.25" customHeight="1">
      <c r="B313" s="22"/>
      <c r="C313" s="22"/>
    </row>
    <row r="314" ht="14.25" customHeight="1">
      <c r="B314" s="22"/>
      <c r="C314" s="22"/>
    </row>
    <row r="315" ht="14.25" customHeight="1">
      <c r="B315" s="22"/>
      <c r="C315" s="22"/>
    </row>
    <row r="316" ht="14.25" customHeight="1">
      <c r="B316" s="22"/>
      <c r="C316" s="22"/>
    </row>
    <row r="317" ht="14.25" customHeight="1">
      <c r="B317" s="22"/>
      <c r="C317" s="22"/>
    </row>
    <row r="318" ht="14.25" customHeight="1">
      <c r="B318" s="22"/>
      <c r="C318" s="22"/>
    </row>
    <row r="319" ht="14.25" customHeight="1">
      <c r="B319" s="22"/>
      <c r="C319" s="22"/>
    </row>
    <row r="320" ht="14.25" customHeight="1">
      <c r="B320" s="22"/>
      <c r="C320" s="22"/>
    </row>
    <row r="321" ht="14.25" customHeight="1">
      <c r="B321" s="22"/>
      <c r="C321" s="22"/>
    </row>
    <row r="322" ht="14.25" customHeight="1">
      <c r="B322" s="22"/>
      <c r="C322" s="22"/>
    </row>
    <row r="323" ht="14.25" customHeight="1">
      <c r="B323" s="22"/>
      <c r="C323" s="22"/>
    </row>
    <row r="324" ht="14.25" customHeight="1">
      <c r="B324" s="22"/>
      <c r="C324" s="22"/>
    </row>
    <row r="325" ht="14.25" customHeight="1">
      <c r="B325" s="22"/>
      <c r="C325" s="22"/>
    </row>
    <row r="326" ht="14.25" customHeight="1">
      <c r="B326" s="22"/>
      <c r="C326" s="22"/>
    </row>
    <row r="327" ht="14.25" customHeight="1">
      <c r="B327" s="22"/>
      <c r="C327" s="22"/>
    </row>
    <row r="328" ht="14.25" customHeight="1">
      <c r="B328" s="22"/>
      <c r="C328" s="22"/>
    </row>
    <row r="329" ht="14.25" customHeight="1">
      <c r="B329" s="22"/>
      <c r="C329" s="22"/>
    </row>
    <row r="330" ht="14.25" customHeight="1">
      <c r="B330" s="22"/>
      <c r="C330" s="22"/>
    </row>
    <row r="331" ht="14.25" customHeight="1">
      <c r="B331" s="22"/>
      <c r="C331" s="22"/>
    </row>
    <row r="332" ht="14.25" customHeight="1">
      <c r="B332" s="22"/>
      <c r="C332" s="22"/>
    </row>
    <row r="333" ht="14.25" customHeight="1">
      <c r="B333" s="22"/>
      <c r="C333" s="22"/>
    </row>
    <row r="334" ht="14.25" customHeight="1">
      <c r="B334" s="22"/>
      <c r="C334" s="22"/>
    </row>
    <row r="335" ht="14.25" customHeight="1">
      <c r="B335" s="22"/>
      <c r="C335" s="22"/>
    </row>
    <row r="336" ht="14.25" customHeight="1">
      <c r="B336" s="22"/>
      <c r="C336" s="22"/>
    </row>
    <row r="337" ht="14.25" customHeight="1">
      <c r="B337" s="22"/>
      <c r="C337" s="22"/>
    </row>
    <row r="338" ht="14.25" customHeight="1">
      <c r="B338" s="22"/>
      <c r="C338" s="22"/>
    </row>
    <row r="339" ht="14.25" customHeight="1">
      <c r="B339" s="22"/>
      <c r="C339" s="22"/>
    </row>
    <row r="340" ht="14.25" customHeight="1">
      <c r="B340" s="22"/>
      <c r="C340" s="22"/>
    </row>
    <row r="341" ht="14.25" customHeight="1">
      <c r="B341" s="22"/>
      <c r="C341" s="22"/>
    </row>
    <row r="342" ht="14.25" customHeight="1">
      <c r="B342" s="22"/>
      <c r="C342" s="22"/>
    </row>
    <row r="343" ht="14.25" customHeight="1">
      <c r="B343" s="22"/>
      <c r="C343" s="22"/>
    </row>
    <row r="344" ht="14.25" customHeight="1">
      <c r="B344" s="22"/>
      <c r="C344" s="22"/>
    </row>
    <row r="345" ht="14.25" customHeight="1">
      <c r="B345" s="22"/>
      <c r="C345" s="22"/>
    </row>
    <row r="346" ht="14.25" customHeight="1">
      <c r="B346" s="22"/>
      <c r="C346" s="22"/>
    </row>
    <row r="347" ht="14.25" customHeight="1">
      <c r="B347" s="22"/>
      <c r="C347" s="22"/>
    </row>
    <row r="348" ht="14.25" customHeight="1">
      <c r="B348" s="22"/>
      <c r="C348" s="22"/>
    </row>
    <row r="349" ht="14.25" customHeight="1">
      <c r="B349" s="22"/>
      <c r="C349" s="22"/>
    </row>
    <row r="350" ht="14.25" customHeight="1">
      <c r="B350" s="22"/>
      <c r="C350" s="22"/>
    </row>
    <row r="351" ht="14.25" customHeight="1">
      <c r="B351" s="22"/>
      <c r="C351" s="22"/>
    </row>
    <row r="352" ht="14.25" customHeight="1">
      <c r="B352" s="22"/>
      <c r="C352" s="22"/>
    </row>
    <row r="353" ht="14.25" customHeight="1">
      <c r="B353" s="22"/>
      <c r="C353" s="22"/>
    </row>
    <row r="354" ht="14.25" customHeight="1">
      <c r="B354" s="22"/>
      <c r="C354" s="22"/>
    </row>
    <row r="355" ht="14.25" customHeight="1">
      <c r="B355" s="22"/>
      <c r="C355" s="22"/>
    </row>
    <row r="356" ht="14.25" customHeight="1">
      <c r="B356" s="22"/>
      <c r="C356" s="22"/>
    </row>
    <row r="357" ht="14.25" customHeight="1">
      <c r="B357" s="22"/>
      <c r="C357" s="22"/>
    </row>
    <row r="358" ht="14.25" customHeight="1">
      <c r="B358" s="22"/>
      <c r="C358" s="22"/>
    </row>
    <row r="359" ht="14.25" customHeight="1">
      <c r="B359" s="22"/>
      <c r="C359" s="22"/>
    </row>
    <row r="360" ht="14.25" customHeight="1">
      <c r="B360" s="22"/>
      <c r="C360" s="22"/>
    </row>
    <row r="361" ht="14.25" customHeight="1">
      <c r="B361" s="22"/>
      <c r="C361" s="22"/>
    </row>
    <row r="362" ht="14.25" customHeight="1">
      <c r="B362" s="22"/>
      <c r="C362" s="22"/>
    </row>
    <row r="363" ht="14.25" customHeight="1">
      <c r="B363" s="22"/>
      <c r="C363" s="22"/>
    </row>
    <row r="364" ht="14.25" customHeight="1">
      <c r="B364" s="22"/>
      <c r="C364" s="22"/>
    </row>
    <row r="365" ht="14.25" customHeight="1">
      <c r="B365" s="22"/>
      <c r="C365" s="22"/>
    </row>
    <row r="366" ht="14.25" customHeight="1">
      <c r="B366" s="22"/>
      <c r="C366" s="22"/>
    </row>
    <row r="367" ht="14.25" customHeight="1">
      <c r="B367" s="22"/>
      <c r="C367" s="22"/>
    </row>
    <row r="368" ht="14.25" customHeight="1">
      <c r="B368" s="22"/>
      <c r="C368" s="22"/>
    </row>
    <row r="369" ht="14.25" customHeight="1">
      <c r="B369" s="22"/>
      <c r="C369" s="22"/>
    </row>
    <row r="370" ht="14.25" customHeight="1">
      <c r="B370" s="22"/>
      <c r="C370" s="22"/>
    </row>
    <row r="371" ht="14.25" customHeight="1">
      <c r="B371" s="22"/>
      <c r="C371" s="22"/>
    </row>
    <row r="372" ht="14.25" customHeight="1">
      <c r="B372" s="22"/>
      <c r="C372" s="22"/>
    </row>
    <row r="373" ht="14.25" customHeight="1">
      <c r="B373" s="22"/>
      <c r="C373" s="22"/>
    </row>
    <row r="374" ht="14.25" customHeight="1">
      <c r="B374" s="22"/>
      <c r="C374" s="22"/>
    </row>
    <row r="375" ht="14.25" customHeight="1">
      <c r="B375" s="22"/>
      <c r="C375" s="22"/>
    </row>
    <row r="376" ht="14.25" customHeight="1">
      <c r="B376" s="22"/>
      <c r="C376" s="22"/>
    </row>
    <row r="377" ht="14.25" customHeight="1">
      <c r="B377" s="22"/>
      <c r="C377" s="22"/>
    </row>
    <row r="378" ht="14.25" customHeight="1">
      <c r="B378" s="22"/>
      <c r="C378" s="22"/>
    </row>
    <row r="379" ht="14.25" customHeight="1">
      <c r="B379" s="22"/>
      <c r="C379" s="22"/>
    </row>
    <row r="380" ht="14.25" customHeight="1">
      <c r="B380" s="22"/>
      <c r="C380" s="22"/>
    </row>
    <row r="381" ht="14.25" customHeight="1">
      <c r="B381" s="22"/>
      <c r="C381" s="22"/>
    </row>
    <row r="382" ht="14.25" customHeight="1">
      <c r="B382" s="22"/>
      <c r="C382" s="22"/>
    </row>
    <row r="383" ht="14.25" customHeight="1">
      <c r="B383" s="22"/>
      <c r="C383" s="22"/>
    </row>
    <row r="384" ht="14.25" customHeight="1">
      <c r="B384" s="22"/>
      <c r="C384" s="22"/>
    </row>
    <row r="385" ht="14.25" customHeight="1">
      <c r="B385" s="22"/>
      <c r="C385" s="22"/>
    </row>
    <row r="386" ht="14.25" customHeight="1">
      <c r="B386" s="22"/>
      <c r="C386" s="22"/>
    </row>
    <row r="387" ht="14.25" customHeight="1">
      <c r="B387" s="22"/>
      <c r="C387" s="22"/>
    </row>
    <row r="388" ht="14.25" customHeight="1">
      <c r="B388" s="22"/>
      <c r="C388" s="22"/>
    </row>
    <row r="389" ht="14.25" customHeight="1">
      <c r="B389" s="22"/>
      <c r="C389" s="22"/>
    </row>
    <row r="390" ht="14.25" customHeight="1">
      <c r="B390" s="22"/>
      <c r="C390" s="22"/>
    </row>
    <row r="391" ht="14.25" customHeight="1">
      <c r="B391" s="22"/>
      <c r="C391" s="22"/>
    </row>
    <row r="392" ht="14.25" customHeight="1">
      <c r="B392" s="22"/>
      <c r="C392" s="22"/>
    </row>
    <row r="393" ht="14.25" customHeight="1">
      <c r="B393" s="22"/>
      <c r="C393" s="22"/>
    </row>
    <row r="394" ht="14.25" customHeight="1">
      <c r="B394" s="22"/>
      <c r="C394" s="22"/>
    </row>
    <row r="395" ht="14.25" customHeight="1">
      <c r="B395" s="22"/>
      <c r="C395" s="22"/>
    </row>
    <row r="396" ht="14.25" customHeight="1">
      <c r="B396" s="22"/>
      <c r="C396" s="22"/>
    </row>
    <row r="397" ht="14.25" customHeight="1">
      <c r="B397" s="22"/>
      <c r="C397" s="22"/>
    </row>
    <row r="398" ht="14.25" customHeight="1">
      <c r="B398" s="22"/>
      <c r="C398" s="22"/>
    </row>
    <row r="399" ht="14.25" customHeight="1">
      <c r="B399" s="22"/>
      <c r="C399" s="22"/>
    </row>
    <row r="400" ht="14.25" customHeight="1">
      <c r="B400" s="22"/>
      <c r="C400" s="22"/>
    </row>
    <row r="401" ht="14.25" customHeight="1">
      <c r="B401" s="22"/>
      <c r="C401" s="22"/>
    </row>
    <row r="402" ht="14.25" customHeight="1">
      <c r="B402" s="22"/>
      <c r="C402" s="22"/>
    </row>
    <row r="403" ht="14.25" customHeight="1">
      <c r="B403" s="22"/>
      <c r="C403" s="22"/>
    </row>
    <row r="404" ht="14.25" customHeight="1">
      <c r="B404" s="22"/>
      <c r="C404" s="22"/>
    </row>
    <row r="405" ht="14.25" customHeight="1">
      <c r="B405" s="22"/>
      <c r="C405" s="22"/>
    </row>
    <row r="406" ht="14.25" customHeight="1">
      <c r="B406" s="22"/>
      <c r="C406" s="22"/>
    </row>
    <row r="407" ht="14.25" customHeight="1">
      <c r="B407" s="22"/>
      <c r="C407" s="22"/>
    </row>
    <row r="408" ht="14.25" customHeight="1">
      <c r="B408" s="22"/>
      <c r="C408" s="22"/>
    </row>
    <row r="409" ht="14.25" customHeight="1">
      <c r="B409" s="22"/>
      <c r="C409" s="22"/>
    </row>
    <row r="410" ht="14.25" customHeight="1">
      <c r="B410" s="22"/>
      <c r="C410" s="22"/>
    </row>
    <row r="411" ht="14.25" customHeight="1">
      <c r="B411" s="22"/>
      <c r="C411" s="22"/>
    </row>
    <row r="412" ht="14.25" customHeight="1">
      <c r="B412" s="22"/>
      <c r="C412" s="22"/>
    </row>
    <row r="413" ht="14.25" customHeight="1">
      <c r="B413" s="22"/>
      <c r="C413" s="22"/>
    </row>
    <row r="414" ht="14.25" customHeight="1">
      <c r="B414" s="22"/>
      <c r="C414" s="22"/>
    </row>
    <row r="415" ht="14.25" customHeight="1">
      <c r="B415" s="22"/>
      <c r="C415" s="22"/>
    </row>
    <row r="416" ht="14.25" customHeight="1">
      <c r="B416" s="22"/>
      <c r="C416" s="22"/>
    </row>
    <row r="417" ht="14.25" customHeight="1">
      <c r="B417" s="22"/>
      <c r="C417" s="22"/>
    </row>
    <row r="418" ht="14.25" customHeight="1">
      <c r="B418" s="22"/>
      <c r="C418" s="22"/>
    </row>
    <row r="419" ht="14.25" customHeight="1">
      <c r="B419" s="22"/>
      <c r="C419" s="22"/>
    </row>
    <row r="420" ht="14.25" customHeight="1">
      <c r="B420" s="22"/>
      <c r="C420" s="22"/>
    </row>
    <row r="421" ht="14.25" customHeight="1">
      <c r="B421" s="22"/>
      <c r="C421" s="22"/>
    </row>
    <row r="422" ht="14.25" customHeight="1">
      <c r="B422" s="22"/>
      <c r="C422" s="22"/>
    </row>
    <row r="423" ht="14.25" customHeight="1">
      <c r="B423" s="22"/>
      <c r="C423" s="22"/>
    </row>
    <row r="424" ht="14.25" customHeight="1">
      <c r="B424" s="22"/>
      <c r="C424" s="22"/>
    </row>
    <row r="425" ht="14.25" customHeight="1">
      <c r="B425" s="22"/>
      <c r="C425" s="22"/>
    </row>
    <row r="426" ht="14.25" customHeight="1">
      <c r="B426" s="22"/>
      <c r="C426" s="22"/>
    </row>
    <row r="427" ht="14.25" customHeight="1">
      <c r="B427" s="22"/>
      <c r="C427" s="22"/>
    </row>
    <row r="428" ht="14.25" customHeight="1">
      <c r="B428" s="22"/>
      <c r="C428" s="22"/>
    </row>
    <row r="429" ht="14.25" customHeight="1">
      <c r="B429" s="22"/>
      <c r="C429" s="22"/>
    </row>
    <row r="430" ht="14.25" customHeight="1">
      <c r="B430" s="22"/>
      <c r="C430" s="22"/>
    </row>
    <row r="431" ht="14.25" customHeight="1">
      <c r="B431" s="22"/>
      <c r="C431" s="22"/>
    </row>
    <row r="432" ht="14.25" customHeight="1">
      <c r="B432" s="22"/>
      <c r="C432" s="22"/>
    </row>
    <row r="433" ht="14.25" customHeight="1">
      <c r="B433" s="22"/>
      <c r="C433" s="22"/>
    </row>
    <row r="434" ht="14.25" customHeight="1">
      <c r="B434" s="22"/>
      <c r="C434" s="22"/>
    </row>
    <row r="435" ht="14.25" customHeight="1">
      <c r="B435" s="22"/>
      <c r="C435" s="22"/>
    </row>
    <row r="436" ht="14.25" customHeight="1">
      <c r="B436" s="22"/>
      <c r="C436" s="22"/>
    </row>
    <row r="437" ht="14.25" customHeight="1">
      <c r="B437" s="22"/>
      <c r="C437" s="22"/>
    </row>
    <row r="438" ht="14.25" customHeight="1">
      <c r="B438" s="22"/>
      <c r="C438" s="22"/>
    </row>
    <row r="439" ht="14.25" customHeight="1">
      <c r="B439" s="22"/>
      <c r="C439" s="22"/>
    </row>
    <row r="440" ht="14.25" customHeight="1">
      <c r="B440" s="22"/>
      <c r="C440" s="22"/>
    </row>
    <row r="441" ht="14.25" customHeight="1">
      <c r="B441" s="22"/>
      <c r="C441" s="22"/>
    </row>
    <row r="442" ht="14.25" customHeight="1">
      <c r="B442" s="22"/>
      <c r="C442" s="22"/>
    </row>
    <row r="443" ht="14.25" customHeight="1">
      <c r="B443" s="22"/>
      <c r="C443" s="22"/>
    </row>
    <row r="444" ht="14.25" customHeight="1">
      <c r="B444" s="22"/>
      <c r="C444" s="22"/>
    </row>
    <row r="445" ht="14.25" customHeight="1">
      <c r="B445" s="22"/>
      <c r="C445" s="22"/>
    </row>
    <row r="446" ht="14.25" customHeight="1">
      <c r="B446" s="22"/>
      <c r="C446" s="22"/>
    </row>
    <row r="447" ht="14.25" customHeight="1">
      <c r="B447" s="22"/>
      <c r="C447" s="22"/>
    </row>
    <row r="448" ht="14.25" customHeight="1">
      <c r="B448" s="22"/>
      <c r="C448" s="22"/>
    </row>
    <row r="449" ht="14.25" customHeight="1">
      <c r="B449" s="22"/>
      <c r="C449" s="22"/>
    </row>
    <row r="450" ht="14.25" customHeight="1">
      <c r="B450" s="22"/>
      <c r="C450" s="22"/>
    </row>
    <row r="451" ht="14.25" customHeight="1">
      <c r="B451" s="22"/>
      <c r="C451" s="22"/>
    </row>
    <row r="452" ht="14.25" customHeight="1">
      <c r="B452" s="22"/>
      <c r="C452" s="22"/>
    </row>
    <row r="453" ht="14.25" customHeight="1">
      <c r="B453" s="22"/>
      <c r="C453" s="22"/>
    </row>
    <row r="454" ht="14.25" customHeight="1">
      <c r="B454" s="22"/>
      <c r="C454" s="22"/>
    </row>
    <row r="455" ht="14.25" customHeight="1">
      <c r="B455" s="22"/>
      <c r="C455" s="22"/>
    </row>
    <row r="456" ht="14.25" customHeight="1">
      <c r="B456" s="22"/>
      <c r="C456" s="22"/>
    </row>
    <row r="457" ht="14.25" customHeight="1">
      <c r="B457" s="22"/>
      <c r="C457" s="22"/>
    </row>
    <row r="458" ht="14.25" customHeight="1">
      <c r="B458" s="22"/>
      <c r="C458" s="22"/>
    </row>
    <row r="459" ht="14.25" customHeight="1">
      <c r="B459" s="22"/>
      <c r="C459" s="22"/>
    </row>
    <row r="460" ht="14.25" customHeight="1">
      <c r="B460" s="22"/>
      <c r="C460" s="22"/>
    </row>
    <row r="461" ht="14.25" customHeight="1">
      <c r="B461" s="22"/>
      <c r="C461" s="22"/>
    </row>
    <row r="462" ht="14.25" customHeight="1">
      <c r="B462" s="22"/>
      <c r="C462" s="22"/>
    </row>
    <row r="463" ht="14.25" customHeight="1">
      <c r="B463" s="22"/>
      <c r="C463" s="22"/>
    </row>
    <row r="464" ht="14.25" customHeight="1">
      <c r="B464" s="22"/>
      <c r="C464" s="22"/>
    </row>
    <row r="465" ht="14.25" customHeight="1">
      <c r="B465" s="22"/>
      <c r="C465" s="22"/>
    </row>
    <row r="466" ht="14.25" customHeight="1">
      <c r="B466" s="22"/>
      <c r="C466" s="22"/>
    </row>
    <row r="467" ht="14.25" customHeight="1">
      <c r="B467" s="22"/>
      <c r="C467" s="22"/>
    </row>
    <row r="468" ht="14.25" customHeight="1">
      <c r="B468" s="22"/>
      <c r="C468" s="22"/>
    </row>
    <row r="469" ht="14.25" customHeight="1">
      <c r="B469" s="22"/>
      <c r="C469" s="22"/>
    </row>
    <row r="470" ht="14.25" customHeight="1">
      <c r="B470" s="22"/>
      <c r="C470" s="22"/>
    </row>
    <row r="471" ht="14.25" customHeight="1">
      <c r="B471" s="22"/>
      <c r="C471" s="22"/>
    </row>
    <row r="472" ht="14.25" customHeight="1">
      <c r="B472" s="22"/>
      <c r="C472" s="22"/>
    </row>
    <row r="473" ht="14.25" customHeight="1">
      <c r="B473" s="22"/>
      <c r="C473" s="22"/>
    </row>
    <row r="474" ht="14.25" customHeight="1">
      <c r="B474" s="22"/>
      <c r="C474" s="22"/>
    </row>
    <row r="475" ht="14.25" customHeight="1">
      <c r="B475" s="22"/>
      <c r="C475" s="22"/>
    </row>
    <row r="476" ht="14.25" customHeight="1">
      <c r="B476" s="22"/>
      <c r="C476" s="22"/>
    </row>
    <row r="477" ht="14.25" customHeight="1">
      <c r="B477" s="22"/>
      <c r="C477" s="22"/>
    </row>
    <row r="478" ht="14.25" customHeight="1">
      <c r="B478" s="22"/>
      <c r="C478" s="22"/>
    </row>
    <row r="479" ht="14.25" customHeight="1">
      <c r="B479" s="22"/>
      <c r="C479" s="22"/>
    </row>
    <row r="480" ht="14.25" customHeight="1">
      <c r="B480" s="22"/>
      <c r="C480" s="22"/>
    </row>
    <row r="481" ht="14.25" customHeight="1">
      <c r="B481" s="22"/>
      <c r="C481" s="22"/>
    </row>
    <row r="482" ht="14.25" customHeight="1">
      <c r="B482" s="22"/>
      <c r="C482" s="22"/>
    </row>
    <row r="483" ht="14.25" customHeight="1">
      <c r="B483" s="22"/>
      <c r="C483" s="22"/>
    </row>
    <row r="484" ht="14.25" customHeight="1">
      <c r="B484" s="22"/>
      <c r="C484" s="22"/>
    </row>
    <row r="485" ht="14.25" customHeight="1">
      <c r="B485" s="22"/>
      <c r="C485" s="22"/>
    </row>
    <row r="486" ht="14.25" customHeight="1">
      <c r="B486" s="22"/>
      <c r="C486" s="22"/>
    </row>
    <row r="487" ht="14.25" customHeight="1">
      <c r="B487" s="22"/>
      <c r="C487" s="22"/>
    </row>
    <row r="488" ht="14.25" customHeight="1">
      <c r="B488" s="22"/>
      <c r="C488" s="22"/>
    </row>
    <row r="489" ht="14.25" customHeight="1">
      <c r="B489" s="22"/>
      <c r="C489" s="22"/>
    </row>
    <row r="490" ht="14.25" customHeight="1">
      <c r="B490" s="22"/>
      <c r="C490" s="22"/>
    </row>
    <row r="491" ht="14.25" customHeight="1">
      <c r="B491" s="22"/>
      <c r="C491" s="22"/>
    </row>
    <row r="492" ht="14.25" customHeight="1">
      <c r="B492" s="22"/>
      <c r="C492" s="22"/>
    </row>
    <row r="493" ht="14.25" customHeight="1">
      <c r="B493" s="22"/>
      <c r="C493" s="22"/>
    </row>
    <row r="494" ht="14.25" customHeight="1">
      <c r="B494" s="22"/>
      <c r="C494" s="22"/>
    </row>
    <row r="495" ht="14.25" customHeight="1">
      <c r="B495" s="22"/>
      <c r="C495" s="22"/>
    </row>
    <row r="496" ht="14.25" customHeight="1">
      <c r="B496" s="22"/>
      <c r="C496" s="22"/>
    </row>
    <row r="497" ht="14.25" customHeight="1">
      <c r="B497" s="22"/>
      <c r="C497" s="22"/>
    </row>
    <row r="498" ht="14.25" customHeight="1">
      <c r="B498" s="22"/>
      <c r="C498" s="22"/>
    </row>
    <row r="499" ht="14.25" customHeight="1">
      <c r="B499" s="22"/>
      <c r="C499" s="22"/>
    </row>
    <row r="500" ht="14.25" customHeight="1">
      <c r="B500" s="22"/>
      <c r="C500" s="22"/>
    </row>
    <row r="501" ht="14.25" customHeight="1">
      <c r="B501" s="22"/>
      <c r="C501" s="22"/>
    </row>
    <row r="502" ht="14.25" customHeight="1">
      <c r="B502" s="22"/>
      <c r="C502" s="22"/>
    </row>
    <row r="503" ht="14.25" customHeight="1">
      <c r="B503" s="22"/>
      <c r="C503" s="22"/>
    </row>
    <row r="504" ht="14.25" customHeight="1">
      <c r="B504" s="22"/>
      <c r="C504" s="22"/>
    </row>
    <row r="505" ht="14.25" customHeight="1">
      <c r="B505" s="22"/>
      <c r="C505" s="22"/>
    </row>
    <row r="506" ht="14.25" customHeight="1">
      <c r="B506" s="22"/>
      <c r="C506" s="22"/>
    </row>
    <row r="507" ht="14.25" customHeight="1">
      <c r="B507" s="22"/>
      <c r="C507" s="22"/>
    </row>
    <row r="508" ht="14.25" customHeight="1">
      <c r="B508" s="22"/>
      <c r="C508" s="22"/>
    </row>
    <row r="509" ht="14.25" customHeight="1">
      <c r="B509" s="22"/>
      <c r="C509" s="22"/>
    </row>
    <row r="510" ht="14.25" customHeight="1">
      <c r="B510" s="22"/>
      <c r="C510" s="22"/>
    </row>
    <row r="511" ht="14.25" customHeight="1">
      <c r="B511" s="22"/>
      <c r="C511" s="22"/>
    </row>
    <row r="512" ht="14.25" customHeight="1">
      <c r="B512" s="22"/>
      <c r="C512" s="22"/>
    </row>
    <row r="513" ht="14.25" customHeight="1">
      <c r="B513" s="22"/>
      <c r="C513" s="22"/>
    </row>
    <row r="514" ht="14.25" customHeight="1">
      <c r="B514" s="22"/>
      <c r="C514" s="22"/>
    </row>
    <row r="515" ht="14.25" customHeight="1">
      <c r="B515" s="22"/>
      <c r="C515" s="22"/>
    </row>
    <row r="516" ht="14.25" customHeight="1">
      <c r="B516" s="22"/>
      <c r="C516" s="22"/>
    </row>
    <row r="517" ht="14.25" customHeight="1">
      <c r="B517" s="22"/>
      <c r="C517" s="22"/>
    </row>
    <row r="518" ht="14.25" customHeight="1">
      <c r="B518" s="22"/>
      <c r="C518" s="22"/>
    </row>
    <row r="519" ht="14.25" customHeight="1">
      <c r="B519" s="22"/>
      <c r="C519" s="22"/>
    </row>
    <row r="520" ht="14.25" customHeight="1">
      <c r="B520" s="22"/>
      <c r="C520" s="22"/>
    </row>
    <row r="521" ht="14.25" customHeight="1">
      <c r="B521" s="22"/>
      <c r="C521" s="22"/>
    </row>
    <row r="522" ht="14.25" customHeight="1">
      <c r="B522" s="22"/>
      <c r="C522" s="22"/>
    </row>
    <row r="523" ht="14.25" customHeight="1">
      <c r="B523" s="22"/>
      <c r="C523" s="22"/>
    </row>
    <row r="524" ht="14.25" customHeight="1">
      <c r="B524" s="22"/>
      <c r="C524" s="22"/>
    </row>
    <row r="525" ht="14.25" customHeight="1">
      <c r="B525" s="22"/>
      <c r="C525" s="22"/>
    </row>
    <row r="526" ht="14.25" customHeight="1">
      <c r="B526" s="22"/>
      <c r="C526" s="22"/>
    </row>
    <row r="527" ht="14.25" customHeight="1">
      <c r="B527" s="22"/>
      <c r="C527" s="22"/>
    </row>
    <row r="528" ht="14.25" customHeight="1">
      <c r="B528" s="22"/>
      <c r="C528" s="22"/>
    </row>
    <row r="529" ht="14.25" customHeight="1">
      <c r="B529" s="22"/>
      <c r="C529" s="22"/>
    </row>
    <row r="530" ht="14.25" customHeight="1">
      <c r="B530" s="22"/>
      <c r="C530" s="22"/>
    </row>
    <row r="531" ht="14.25" customHeight="1">
      <c r="B531" s="22"/>
      <c r="C531" s="22"/>
    </row>
    <row r="532" ht="14.25" customHeight="1">
      <c r="B532" s="22"/>
      <c r="C532" s="22"/>
    </row>
    <row r="533" ht="14.25" customHeight="1">
      <c r="B533" s="22"/>
      <c r="C533" s="22"/>
    </row>
    <row r="534" ht="14.25" customHeight="1">
      <c r="B534" s="22"/>
      <c r="C534" s="22"/>
    </row>
    <row r="535" ht="14.25" customHeight="1">
      <c r="B535" s="22"/>
      <c r="C535" s="22"/>
    </row>
    <row r="536" ht="14.25" customHeight="1">
      <c r="B536" s="22"/>
      <c r="C536" s="22"/>
    </row>
    <row r="537" ht="14.25" customHeight="1">
      <c r="B537" s="22"/>
      <c r="C537" s="22"/>
    </row>
    <row r="538" ht="14.25" customHeight="1">
      <c r="B538" s="22"/>
      <c r="C538" s="22"/>
    </row>
    <row r="539" ht="14.25" customHeight="1">
      <c r="B539" s="22"/>
      <c r="C539" s="22"/>
    </row>
    <row r="540" ht="14.25" customHeight="1">
      <c r="B540" s="22"/>
      <c r="C540" s="22"/>
    </row>
    <row r="541" ht="14.25" customHeight="1">
      <c r="B541" s="22"/>
      <c r="C541" s="22"/>
    </row>
    <row r="542" ht="14.25" customHeight="1">
      <c r="B542" s="22"/>
      <c r="C542" s="22"/>
    </row>
    <row r="543" ht="14.25" customHeight="1">
      <c r="B543" s="22"/>
      <c r="C543" s="22"/>
    </row>
    <row r="544" ht="14.25" customHeight="1">
      <c r="B544" s="22"/>
      <c r="C544" s="22"/>
    </row>
    <row r="545" ht="14.25" customHeight="1">
      <c r="B545" s="22"/>
      <c r="C545" s="22"/>
    </row>
    <row r="546" ht="14.25" customHeight="1">
      <c r="B546" s="22"/>
      <c r="C546" s="22"/>
    </row>
    <row r="547" ht="14.25" customHeight="1">
      <c r="B547" s="22"/>
      <c r="C547" s="22"/>
    </row>
    <row r="548" ht="14.25" customHeight="1">
      <c r="B548" s="22"/>
      <c r="C548" s="22"/>
    </row>
    <row r="549" ht="14.25" customHeight="1">
      <c r="B549" s="22"/>
      <c r="C549" s="22"/>
    </row>
    <row r="550" ht="14.25" customHeight="1">
      <c r="B550" s="22"/>
      <c r="C550" s="22"/>
    </row>
    <row r="551" ht="14.25" customHeight="1">
      <c r="B551" s="22"/>
      <c r="C551" s="22"/>
    </row>
    <row r="552" ht="14.25" customHeight="1">
      <c r="B552" s="22"/>
      <c r="C552" s="22"/>
    </row>
    <row r="553" ht="14.25" customHeight="1">
      <c r="B553" s="22"/>
      <c r="C553" s="22"/>
    </row>
    <row r="554" ht="14.25" customHeight="1">
      <c r="B554" s="22"/>
      <c r="C554" s="22"/>
    </row>
    <row r="555" ht="14.25" customHeight="1">
      <c r="B555" s="22"/>
      <c r="C555" s="22"/>
    </row>
    <row r="556" ht="14.25" customHeight="1">
      <c r="B556" s="22"/>
      <c r="C556" s="22"/>
    </row>
    <row r="557" ht="14.25" customHeight="1">
      <c r="B557" s="22"/>
      <c r="C557" s="22"/>
    </row>
    <row r="558" ht="14.25" customHeight="1">
      <c r="B558" s="22"/>
      <c r="C558" s="22"/>
    </row>
    <row r="559" ht="14.25" customHeight="1">
      <c r="B559" s="22"/>
      <c r="C559" s="22"/>
    </row>
    <row r="560" ht="14.25" customHeight="1">
      <c r="B560" s="22"/>
      <c r="C560" s="22"/>
    </row>
    <row r="561" ht="14.25" customHeight="1">
      <c r="B561" s="22"/>
      <c r="C561" s="22"/>
    </row>
    <row r="562" ht="14.25" customHeight="1">
      <c r="B562" s="22"/>
      <c r="C562" s="22"/>
    </row>
    <row r="563" ht="14.25" customHeight="1">
      <c r="B563" s="22"/>
      <c r="C563" s="22"/>
    </row>
    <row r="564" ht="14.25" customHeight="1">
      <c r="B564" s="22"/>
      <c r="C564" s="22"/>
    </row>
    <row r="565" ht="14.25" customHeight="1">
      <c r="B565" s="22"/>
      <c r="C565" s="22"/>
    </row>
    <row r="566" ht="14.25" customHeight="1">
      <c r="B566" s="22"/>
      <c r="C566" s="22"/>
    </row>
    <row r="567" ht="14.25" customHeight="1">
      <c r="B567" s="22"/>
      <c r="C567" s="22"/>
    </row>
    <row r="568" ht="14.25" customHeight="1">
      <c r="B568" s="22"/>
      <c r="C568" s="22"/>
    </row>
    <row r="569" ht="14.25" customHeight="1">
      <c r="B569" s="22"/>
      <c r="C569" s="22"/>
    </row>
    <row r="570" ht="14.25" customHeight="1">
      <c r="B570" s="22"/>
      <c r="C570" s="22"/>
    </row>
    <row r="571" ht="14.25" customHeight="1">
      <c r="B571" s="22"/>
      <c r="C571" s="22"/>
    </row>
    <row r="572" ht="14.25" customHeight="1">
      <c r="B572" s="22"/>
      <c r="C572" s="22"/>
    </row>
    <row r="573" ht="14.25" customHeight="1">
      <c r="B573" s="22"/>
      <c r="C573" s="22"/>
    </row>
    <row r="574" ht="14.25" customHeight="1">
      <c r="B574" s="22"/>
      <c r="C574" s="22"/>
    </row>
    <row r="575" ht="14.25" customHeight="1">
      <c r="B575" s="22"/>
      <c r="C575" s="22"/>
    </row>
    <row r="576" ht="14.25" customHeight="1">
      <c r="B576" s="22"/>
      <c r="C576" s="22"/>
    </row>
    <row r="577" ht="14.25" customHeight="1">
      <c r="B577" s="22"/>
      <c r="C577" s="22"/>
    </row>
    <row r="578" ht="14.25" customHeight="1">
      <c r="B578" s="22"/>
      <c r="C578" s="22"/>
    </row>
    <row r="579" ht="14.25" customHeight="1">
      <c r="B579" s="22"/>
      <c r="C579" s="22"/>
    </row>
    <row r="580" ht="14.25" customHeight="1">
      <c r="B580" s="22"/>
      <c r="C580" s="22"/>
    </row>
    <row r="581" ht="14.25" customHeight="1">
      <c r="B581" s="22"/>
      <c r="C581" s="22"/>
    </row>
    <row r="582" ht="14.25" customHeight="1">
      <c r="B582" s="22"/>
      <c r="C582" s="22"/>
    </row>
    <row r="583" ht="14.25" customHeight="1">
      <c r="B583" s="22"/>
      <c r="C583" s="22"/>
    </row>
    <row r="584" ht="14.25" customHeight="1">
      <c r="B584" s="22"/>
      <c r="C584" s="22"/>
    </row>
    <row r="585" ht="14.25" customHeight="1">
      <c r="B585" s="22"/>
      <c r="C585" s="22"/>
    </row>
    <row r="586" ht="14.25" customHeight="1">
      <c r="B586" s="22"/>
      <c r="C586" s="22"/>
    </row>
    <row r="587" ht="14.25" customHeight="1">
      <c r="B587" s="22"/>
      <c r="C587" s="22"/>
    </row>
    <row r="588" ht="14.25" customHeight="1">
      <c r="B588" s="22"/>
      <c r="C588" s="22"/>
    </row>
    <row r="589" ht="14.25" customHeight="1">
      <c r="B589" s="22"/>
      <c r="C589" s="22"/>
    </row>
    <row r="590" ht="14.25" customHeight="1">
      <c r="B590" s="22"/>
      <c r="C590" s="22"/>
    </row>
    <row r="591" ht="14.25" customHeight="1">
      <c r="B591" s="22"/>
      <c r="C591" s="22"/>
    </row>
    <row r="592" ht="14.25" customHeight="1">
      <c r="B592" s="22"/>
      <c r="C592" s="22"/>
    </row>
    <row r="593" ht="14.25" customHeight="1">
      <c r="B593" s="22"/>
      <c r="C593" s="22"/>
    </row>
    <row r="594" ht="14.25" customHeight="1">
      <c r="B594" s="22"/>
      <c r="C594" s="22"/>
    </row>
    <row r="595" ht="14.25" customHeight="1">
      <c r="B595" s="22"/>
      <c r="C595" s="22"/>
    </row>
    <row r="596" ht="14.25" customHeight="1">
      <c r="B596" s="22"/>
      <c r="C596" s="22"/>
    </row>
    <row r="597" ht="14.25" customHeight="1">
      <c r="B597" s="22"/>
      <c r="C597" s="22"/>
    </row>
    <row r="598" ht="14.25" customHeight="1">
      <c r="B598" s="22"/>
      <c r="C598" s="22"/>
    </row>
    <row r="599" ht="14.25" customHeight="1">
      <c r="B599" s="22"/>
      <c r="C599" s="22"/>
    </row>
    <row r="600" ht="14.25" customHeight="1">
      <c r="B600" s="22"/>
      <c r="C600" s="22"/>
    </row>
    <row r="601" ht="14.25" customHeight="1">
      <c r="B601" s="22"/>
      <c r="C601" s="22"/>
    </row>
    <row r="602" ht="14.25" customHeight="1">
      <c r="B602" s="22"/>
      <c r="C602" s="22"/>
    </row>
    <row r="603" ht="14.25" customHeight="1">
      <c r="B603" s="22"/>
      <c r="C603" s="22"/>
    </row>
    <row r="604" ht="14.25" customHeight="1">
      <c r="B604" s="22"/>
      <c r="C604" s="22"/>
    </row>
    <row r="605" ht="14.25" customHeight="1">
      <c r="B605" s="22"/>
      <c r="C605" s="22"/>
    </row>
    <row r="606" ht="14.25" customHeight="1">
      <c r="B606" s="22"/>
      <c r="C606" s="22"/>
    </row>
    <row r="607" ht="14.25" customHeight="1">
      <c r="B607" s="22"/>
      <c r="C607" s="22"/>
    </row>
    <row r="608" ht="14.25" customHeight="1">
      <c r="B608" s="22"/>
      <c r="C608" s="22"/>
    </row>
    <row r="609" ht="14.25" customHeight="1">
      <c r="B609" s="22"/>
      <c r="C609" s="22"/>
    </row>
    <row r="610" ht="14.25" customHeight="1">
      <c r="B610" s="22"/>
      <c r="C610" s="22"/>
    </row>
    <row r="611" ht="14.25" customHeight="1">
      <c r="B611" s="22"/>
      <c r="C611" s="22"/>
    </row>
    <row r="612" ht="14.25" customHeight="1">
      <c r="B612" s="22"/>
      <c r="C612" s="22"/>
    </row>
    <row r="613" ht="14.25" customHeight="1">
      <c r="B613" s="22"/>
      <c r="C613" s="22"/>
    </row>
    <row r="614" ht="14.25" customHeight="1">
      <c r="B614" s="22"/>
      <c r="C614" s="22"/>
    </row>
    <row r="615" ht="14.25" customHeight="1">
      <c r="B615" s="22"/>
      <c r="C615" s="22"/>
    </row>
    <row r="616" ht="14.25" customHeight="1">
      <c r="B616" s="22"/>
      <c r="C616" s="22"/>
    </row>
    <row r="617" ht="14.25" customHeight="1">
      <c r="B617" s="22"/>
      <c r="C617" s="22"/>
    </row>
    <row r="618" ht="14.25" customHeight="1">
      <c r="B618" s="22"/>
      <c r="C618" s="22"/>
    </row>
    <row r="619" ht="14.25" customHeight="1">
      <c r="B619" s="22"/>
      <c r="C619" s="22"/>
    </row>
    <row r="620" ht="14.25" customHeight="1">
      <c r="B620" s="22"/>
      <c r="C620" s="22"/>
    </row>
    <row r="621" ht="14.25" customHeight="1">
      <c r="B621" s="22"/>
      <c r="C621" s="22"/>
    </row>
    <row r="622" ht="14.25" customHeight="1">
      <c r="B622" s="22"/>
      <c r="C622" s="22"/>
    </row>
    <row r="623" ht="14.25" customHeight="1">
      <c r="B623" s="22"/>
      <c r="C623" s="22"/>
    </row>
    <row r="624" ht="14.25" customHeight="1">
      <c r="B624" s="22"/>
      <c r="C624" s="22"/>
    </row>
    <row r="625" ht="14.25" customHeight="1">
      <c r="B625" s="22"/>
      <c r="C625" s="22"/>
    </row>
    <row r="626" ht="14.25" customHeight="1">
      <c r="B626" s="22"/>
      <c r="C626" s="22"/>
    </row>
    <row r="627" ht="14.25" customHeight="1">
      <c r="B627" s="22"/>
      <c r="C627" s="22"/>
    </row>
    <row r="628" ht="14.25" customHeight="1">
      <c r="B628" s="22"/>
      <c r="C628" s="22"/>
    </row>
    <row r="629" ht="14.25" customHeight="1">
      <c r="B629" s="22"/>
      <c r="C629" s="22"/>
    </row>
    <row r="630" ht="14.25" customHeight="1">
      <c r="B630" s="22"/>
      <c r="C630" s="22"/>
    </row>
    <row r="631" ht="14.25" customHeight="1">
      <c r="B631" s="22"/>
      <c r="C631" s="22"/>
    </row>
    <row r="632" ht="14.25" customHeight="1">
      <c r="B632" s="22"/>
      <c r="C632" s="22"/>
    </row>
    <row r="633" ht="14.25" customHeight="1">
      <c r="B633" s="22"/>
      <c r="C633" s="22"/>
    </row>
    <row r="634" ht="14.25" customHeight="1">
      <c r="B634" s="22"/>
      <c r="C634" s="22"/>
    </row>
    <row r="635" ht="14.25" customHeight="1">
      <c r="B635" s="22"/>
      <c r="C635" s="22"/>
    </row>
    <row r="636" ht="14.25" customHeight="1">
      <c r="B636" s="22"/>
      <c r="C636" s="22"/>
    </row>
    <row r="637" ht="14.25" customHeight="1">
      <c r="B637" s="22"/>
      <c r="C637" s="22"/>
    </row>
    <row r="638" ht="14.25" customHeight="1">
      <c r="B638" s="22"/>
      <c r="C638" s="22"/>
    </row>
    <row r="639" ht="14.25" customHeight="1">
      <c r="B639" s="22"/>
      <c r="C639" s="22"/>
    </row>
    <row r="640" ht="14.25" customHeight="1">
      <c r="B640" s="22"/>
      <c r="C640" s="22"/>
    </row>
    <row r="641" ht="14.25" customHeight="1">
      <c r="B641" s="22"/>
      <c r="C641" s="22"/>
    </row>
    <row r="642" ht="14.25" customHeight="1">
      <c r="B642" s="22"/>
      <c r="C642" s="22"/>
    </row>
    <row r="643" ht="14.25" customHeight="1">
      <c r="B643" s="22"/>
      <c r="C643" s="22"/>
    </row>
    <row r="644" ht="14.25" customHeight="1">
      <c r="B644" s="22"/>
      <c r="C644" s="22"/>
    </row>
    <row r="645" ht="14.25" customHeight="1">
      <c r="B645" s="22"/>
      <c r="C645" s="22"/>
    </row>
    <row r="646" ht="14.25" customHeight="1">
      <c r="B646" s="22"/>
      <c r="C646" s="22"/>
    </row>
    <row r="647" ht="14.25" customHeight="1">
      <c r="B647" s="22"/>
      <c r="C647" s="22"/>
    </row>
    <row r="648" ht="14.25" customHeight="1">
      <c r="B648" s="22"/>
      <c r="C648" s="22"/>
    </row>
    <row r="649" ht="14.25" customHeight="1">
      <c r="B649" s="22"/>
      <c r="C649" s="22"/>
    </row>
    <row r="650" ht="14.25" customHeight="1">
      <c r="B650" s="22"/>
      <c r="C650" s="22"/>
    </row>
    <row r="651" ht="14.25" customHeight="1">
      <c r="B651" s="22"/>
      <c r="C651" s="22"/>
    </row>
    <row r="652" ht="14.25" customHeight="1">
      <c r="B652" s="22"/>
      <c r="C652" s="22"/>
    </row>
    <row r="653" ht="14.25" customHeight="1">
      <c r="B653" s="22"/>
      <c r="C653" s="22"/>
    </row>
    <row r="654" ht="14.25" customHeight="1">
      <c r="B654" s="22"/>
      <c r="C654" s="22"/>
    </row>
    <row r="655" ht="14.25" customHeight="1">
      <c r="B655" s="22"/>
      <c r="C655" s="22"/>
    </row>
    <row r="656" ht="14.25" customHeight="1">
      <c r="B656" s="22"/>
      <c r="C656" s="22"/>
    </row>
    <row r="657" ht="14.25" customHeight="1">
      <c r="B657" s="22"/>
      <c r="C657" s="22"/>
    </row>
    <row r="658" ht="14.25" customHeight="1">
      <c r="B658" s="22"/>
      <c r="C658" s="22"/>
    </row>
    <row r="659" ht="14.25" customHeight="1">
      <c r="B659" s="22"/>
      <c r="C659" s="22"/>
    </row>
    <row r="660" ht="14.25" customHeight="1">
      <c r="B660" s="22"/>
      <c r="C660" s="22"/>
    </row>
    <row r="661" ht="14.25" customHeight="1">
      <c r="B661" s="22"/>
      <c r="C661" s="22"/>
    </row>
    <row r="662" ht="14.25" customHeight="1">
      <c r="B662" s="22"/>
      <c r="C662" s="22"/>
    </row>
    <row r="663" ht="14.25" customHeight="1">
      <c r="B663" s="22"/>
      <c r="C663" s="22"/>
    </row>
    <row r="664" ht="14.25" customHeight="1">
      <c r="B664" s="22"/>
      <c r="C664" s="22"/>
    </row>
    <row r="665" ht="14.25" customHeight="1">
      <c r="B665" s="22"/>
      <c r="C665" s="22"/>
    </row>
    <row r="666" ht="14.25" customHeight="1">
      <c r="B666" s="22"/>
      <c r="C666" s="22"/>
    </row>
    <row r="667" ht="14.25" customHeight="1">
      <c r="B667" s="22"/>
      <c r="C667" s="22"/>
    </row>
    <row r="668" ht="14.25" customHeight="1">
      <c r="B668" s="22"/>
      <c r="C668" s="22"/>
    </row>
    <row r="669" ht="14.25" customHeight="1">
      <c r="B669" s="22"/>
      <c r="C669" s="22"/>
    </row>
    <row r="670" ht="14.25" customHeight="1">
      <c r="B670" s="22"/>
      <c r="C670" s="22"/>
    </row>
    <row r="671" ht="14.25" customHeight="1">
      <c r="B671" s="22"/>
      <c r="C671" s="22"/>
    </row>
    <row r="672" ht="14.25" customHeight="1">
      <c r="B672" s="22"/>
      <c r="C672" s="22"/>
    </row>
    <row r="673" ht="14.25" customHeight="1">
      <c r="B673" s="22"/>
      <c r="C673" s="22"/>
    </row>
    <row r="674" ht="14.25" customHeight="1">
      <c r="B674" s="22"/>
      <c r="C674" s="22"/>
    </row>
    <row r="675" ht="14.25" customHeight="1">
      <c r="B675" s="22"/>
      <c r="C675" s="22"/>
    </row>
    <row r="676" ht="14.25" customHeight="1">
      <c r="B676" s="22"/>
      <c r="C676" s="22"/>
    </row>
    <row r="677" ht="14.25" customHeight="1">
      <c r="B677" s="22"/>
      <c r="C677" s="22"/>
    </row>
    <row r="678" ht="14.25" customHeight="1">
      <c r="B678" s="22"/>
      <c r="C678" s="22"/>
    </row>
    <row r="679" ht="14.25" customHeight="1">
      <c r="B679" s="22"/>
      <c r="C679" s="22"/>
    </row>
    <row r="680" ht="14.25" customHeight="1">
      <c r="B680" s="22"/>
      <c r="C680" s="22"/>
    </row>
    <row r="681" ht="14.25" customHeight="1">
      <c r="B681" s="22"/>
      <c r="C681" s="22"/>
    </row>
    <row r="682" ht="14.25" customHeight="1">
      <c r="B682" s="22"/>
      <c r="C682" s="22"/>
    </row>
    <row r="683" ht="14.25" customHeight="1">
      <c r="B683" s="22"/>
      <c r="C683" s="22"/>
    </row>
    <row r="684" ht="14.25" customHeight="1">
      <c r="B684" s="22"/>
      <c r="C684" s="22"/>
    </row>
    <row r="685" ht="14.25" customHeight="1">
      <c r="B685" s="22"/>
      <c r="C685" s="22"/>
    </row>
    <row r="686" ht="14.25" customHeight="1">
      <c r="B686" s="22"/>
      <c r="C686" s="22"/>
    </row>
    <row r="687" ht="14.25" customHeight="1">
      <c r="B687" s="22"/>
      <c r="C687" s="22"/>
    </row>
    <row r="688" ht="14.25" customHeight="1">
      <c r="B688" s="22"/>
      <c r="C688" s="22"/>
    </row>
    <row r="689" ht="14.25" customHeight="1">
      <c r="B689" s="22"/>
      <c r="C689" s="22"/>
    </row>
    <row r="690" ht="14.25" customHeight="1">
      <c r="B690" s="22"/>
      <c r="C690" s="22"/>
    </row>
    <row r="691" ht="14.25" customHeight="1">
      <c r="B691" s="22"/>
      <c r="C691" s="22"/>
    </row>
    <row r="692" ht="14.25" customHeight="1">
      <c r="B692" s="22"/>
      <c r="C692" s="22"/>
    </row>
    <row r="693" ht="14.25" customHeight="1">
      <c r="B693" s="22"/>
      <c r="C693" s="22"/>
    </row>
    <row r="694" ht="14.25" customHeight="1">
      <c r="B694" s="22"/>
      <c r="C694" s="22"/>
    </row>
    <row r="695" ht="14.25" customHeight="1">
      <c r="B695" s="22"/>
      <c r="C695" s="22"/>
    </row>
    <row r="696" ht="14.25" customHeight="1">
      <c r="B696" s="22"/>
      <c r="C696" s="22"/>
    </row>
    <row r="697" ht="14.25" customHeight="1">
      <c r="B697" s="22"/>
      <c r="C697" s="22"/>
    </row>
    <row r="698" ht="14.25" customHeight="1">
      <c r="B698" s="22"/>
      <c r="C698" s="22"/>
    </row>
    <row r="699" ht="14.25" customHeight="1">
      <c r="B699" s="22"/>
      <c r="C699" s="22"/>
    </row>
    <row r="700" ht="14.25" customHeight="1">
      <c r="B700" s="22"/>
      <c r="C700" s="22"/>
    </row>
    <row r="701" ht="14.25" customHeight="1">
      <c r="B701" s="22"/>
      <c r="C701" s="22"/>
    </row>
    <row r="702" ht="14.25" customHeight="1">
      <c r="B702" s="22"/>
      <c r="C702" s="22"/>
    </row>
    <row r="703" ht="14.25" customHeight="1">
      <c r="B703" s="22"/>
      <c r="C703" s="22"/>
    </row>
    <row r="704" ht="14.25" customHeight="1">
      <c r="B704" s="22"/>
      <c r="C704" s="22"/>
    </row>
    <row r="705" ht="14.25" customHeight="1">
      <c r="B705" s="22"/>
      <c r="C705" s="22"/>
    </row>
    <row r="706" ht="14.25" customHeight="1">
      <c r="B706" s="22"/>
      <c r="C706" s="22"/>
    </row>
    <row r="707" ht="14.25" customHeight="1">
      <c r="B707" s="22"/>
      <c r="C707" s="22"/>
    </row>
    <row r="708" ht="14.25" customHeight="1">
      <c r="B708" s="22"/>
      <c r="C708" s="22"/>
    </row>
    <row r="709" ht="14.25" customHeight="1">
      <c r="B709" s="22"/>
      <c r="C709" s="22"/>
    </row>
    <row r="710" ht="14.25" customHeight="1">
      <c r="B710" s="22"/>
      <c r="C710" s="22"/>
    </row>
    <row r="711" ht="14.25" customHeight="1">
      <c r="B711" s="22"/>
      <c r="C711" s="22"/>
    </row>
    <row r="712" ht="14.25" customHeight="1">
      <c r="B712" s="22"/>
      <c r="C712" s="22"/>
    </row>
    <row r="713" ht="14.25" customHeight="1">
      <c r="B713" s="22"/>
      <c r="C713" s="22"/>
    </row>
    <row r="714" ht="14.25" customHeight="1">
      <c r="B714" s="22"/>
      <c r="C714" s="22"/>
    </row>
    <row r="715" ht="14.25" customHeight="1">
      <c r="B715" s="22"/>
      <c r="C715" s="22"/>
    </row>
    <row r="716" ht="14.25" customHeight="1">
      <c r="B716" s="22"/>
      <c r="C716" s="22"/>
    </row>
    <row r="717" ht="14.25" customHeight="1">
      <c r="B717" s="22"/>
      <c r="C717" s="22"/>
    </row>
    <row r="718" ht="14.25" customHeight="1">
      <c r="B718" s="22"/>
      <c r="C718" s="22"/>
    </row>
    <row r="719" ht="14.25" customHeight="1">
      <c r="B719" s="22"/>
      <c r="C719" s="22"/>
    </row>
    <row r="720" ht="14.25" customHeight="1">
      <c r="B720" s="22"/>
      <c r="C720" s="22"/>
    </row>
    <row r="721" ht="14.25" customHeight="1">
      <c r="B721" s="22"/>
      <c r="C721" s="22"/>
    </row>
    <row r="722" ht="14.25" customHeight="1">
      <c r="B722" s="22"/>
      <c r="C722" s="22"/>
    </row>
    <row r="723" ht="14.25" customHeight="1">
      <c r="B723" s="22"/>
      <c r="C723" s="22"/>
    </row>
    <row r="724" ht="14.25" customHeight="1">
      <c r="B724" s="22"/>
      <c r="C724" s="22"/>
    </row>
    <row r="725" ht="14.25" customHeight="1">
      <c r="B725" s="22"/>
      <c r="C725" s="22"/>
    </row>
    <row r="726" ht="14.25" customHeight="1">
      <c r="B726" s="22"/>
      <c r="C726" s="22"/>
    </row>
    <row r="727" ht="14.25" customHeight="1">
      <c r="B727" s="22"/>
      <c r="C727" s="22"/>
    </row>
    <row r="728" ht="14.25" customHeight="1">
      <c r="B728" s="22"/>
      <c r="C728" s="22"/>
    </row>
    <row r="729" ht="14.25" customHeight="1">
      <c r="B729" s="22"/>
      <c r="C729" s="22"/>
    </row>
    <row r="730" ht="14.25" customHeight="1">
      <c r="B730" s="22"/>
      <c r="C730" s="22"/>
    </row>
    <row r="731" ht="14.25" customHeight="1">
      <c r="B731" s="22"/>
      <c r="C731" s="22"/>
    </row>
    <row r="732" ht="14.25" customHeight="1">
      <c r="B732" s="22"/>
      <c r="C732" s="22"/>
    </row>
    <row r="733" ht="14.25" customHeight="1">
      <c r="B733" s="22"/>
      <c r="C733" s="22"/>
    </row>
    <row r="734" ht="14.25" customHeight="1">
      <c r="B734" s="22"/>
      <c r="C734" s="22"/>
    </row>
    <row r="735" ht="14.25" customHeight="1">
      <c r="B735" s="22"/>
      <c r="C735" s="22"/>
    </row>
    <row r="736" ht="14.25" customHeight="1">
      <c r="B736" s="22"/>
      <c r="C736" s="22"/>
    </row>
    <row r="737" ht="14.25" customHeight="1">
      <c r="B737" s="22"/>
      <c r="C737" s="22"/>
    </row>
    <row r="738" ht="14.25" customHeight="1">
      <c r="B738" s="22"/>
      <c r="C738" s="22"/>
    </row>
    <row r="739" ht="14.25" customHeight="1">
      <c r="B739" s="22"/>
      <c r="C739" s="22"/>
    </row>
    <row r="740" ht="14.25" customHeight="1">
      <c r="B740" s="22"/>
      <c r="C740" s="22"/>
    </row>
    <row r="741" ht="14.25" customHeight="1">
      <c r="B741" s="22"/>
      <c r="C741" s="22"/>
    </row>
    <row r="742" ht="14.25" customHeight="1">
      <c r="B742" s="22"/>
      <c r="C742" s="22"/>
    </row>
    <row r="743" ht="14.25" customHeight="1">
      <c r="B743" s="22"/>
      <c r="C743" s="22"/>
    </row>
    <row r="744" ht="14.25" customHeight="1">
      <c r="B744" s="22"/>
      <c r="C744" s="22"/>
    </row>
    <row r="745" ht="14.25" customHeight="1">
      <c r="B745" s="22"/>
      <c r="C745" s="22"/>
    </row>
    <row r="746" ht="14.25" customHeight="1">
      <c r="B746" s="22"/>
      <c r="C746" s="22"/>
    </row>
    <row r="747" ht="14.25" customHeight="1">
      <c r="B747" s="22"/>
      <c r="C747" s="22"/>
    </row>
    <row r="748" ht="14.25" customHeight="1">
      <c r="B748" s="22"/>
      <c r="C748" s="22"/>
    </row>
    <row r="749" ht="14.25" customHeight="1">
      <c r="B749" s="22"/>
      <c r="C749" s="22"/>
    </row>
    <row r="750" ht="14.25" customHeight="1">
      <c r="B750" s="22"/>
      <c r="C750" s="22"/>
    </row>
    <row r="751" ht="14.25" customHeight="1">
      <c r="B751" s="22"/>
      <c r="C751" s="22"/>
    </row>
    <row r="752" ht="14.25" customHeight="1">
      <c r="B752" s="22"/>
      <c r="C752" s="22"/>
    </row>
    <row r="753" ht="14.25" customHeight="1">
      <c r="B753" s="22"/>
      <c r="C753" s="22"/>
    </row>
    <row r="754" ht="14.25" customHeight="1">
      <c r="B754" s="22"/>
      <c r="C754" s="22"/>
    </row>
    <row r="755" ht="14.25" customHeight="1">
      <c r="B755" s="22"/>
      <c r="C755" s="22"/>
    </row>
    <row r="756" ht="14.25" customHeight="1">
      <c r="B756" s="22"/>
      <c r="C756" s="22"/>
    </row>
    <row r="757" ht="14.25" customHeight="1">
      <c r="B757" s="22"/>
      <c r="C757" s="22"/>
    </row>
    <row r="758" ht="14.25" customHeight="1">
      <c r="B758" s="22"/>
      <c r="C758" s="22"/>
    </row>
    <row r="759" ht="14.25" customHeight="1">
      <c r="B759" s="22"/>
      <c r="C759" s="22"/>
    </row>
    <row r="760" ht="14.25" customHeight="1">
      <c r="B760" s="22"/>
      <c r="C760" s="22"/>
    </row>
    <row r="761" ht="14.25" customHeight="1">
      <c r="B761" s="22"/>
      <c r="C761" s="22"/>
    </row>
    <row r="762" ht="14.25" customHeight="1">
      <c r="B762" s="22"/>
      <c r="C762" s="22"/>
    </row>
    <row r="763" ht="14.25" customHeight="1">
      <c r="B763" s="22"/>
      <c r="C763" s="22"/>
    </row>
    <row r="764" ht="14.25" customHeight="1">
      <c r="B764" s="22"/>
      <c r="C764" s="22"/>
    </row>
    <row r="765" ht="14.25" customHeight="1">
      <c r="B765" s="22"/>
      <c r="C765" s="22"/>
    </row>
    <row r="766" ht="14.25" customHeight="1">
      <c r="B766" s="22"/>
      <c r="C766" s="22"/>
    </row>
    <row r="767" ht="14.25" customHeight="1">
      <c r="B767" s="22"/>
      <c r="C767" s="22"/>
    </row>
    <row r="768" ht="14.25" customHeight="1">
      <c r="B768" s="22"/>
      <c r="C768" s="22"/>
    </row>
    <row r="769" ht="14.25" customHeight="1">
      <c r="B769" s="22"/>
      <c r="C769" s="22"/>
    </row>
    <row r="770" ht="14.25" customHeight="1">
      <c r="B770" s="22"/>
      <c r="C770" s="22"/>
    </row>
    <row r="771" ht="14.25" customHeight="1">
      <c r="B771" s="22"/>
      <c r="C771" s="22"/>
    </row>
    <row r="772" ht="14.25" customHeight="1">
      <c r="B772" s="22"/>
      <c r="C772" s="22"/>
    </row>
    <row r="773" ht="14.25" customHeight="1">
      <c r="B773" s="22"/>
      <c r="C773" s="22"/>
    </row>
    <row r="774" ht="14.25" customHeight="1">
      <c r="B774" s="22"/>
      <c r="C774" s="22"/>
    </row>
    <row r="775" ht="14.25" customHeight="1">
      <c r="B775" s="22"/>
      <c r="C775" s="22"/>
    </row>
    <row r="776" ht="14.25" customHeight="1">
      <c r="B776" s="22"/>
      <c r="C776" s="22"/>
    </row>
    <row r="777" ht="14.25" customHeight="1">
      <c r="B777" s="22"/>
      <c r="C777" s="22"/>
    </row>
    <row r="778" ht="14.25" customHeight="1">
      <c r="B778" s="22"/>
      <c r="C778" s="22"/>
    </row>
    <row r="779" ht="14.25" customHeight="1">
      <c r="B779" s="22"/>
      <c r="C779" s="22"/>
    </row>
    <row r="780" ht="14.25" customHeight="1">
      <c r="B780" s="22"/>
      <c r="C780" s="22"/>
    </row>
    <row r="781" ht="14.25" customHeight="1">
      <c r="B781" s="22"/>
      <c r="C781" s="22"/>
    </row>
    <row r="782" ht="14.25" customHeight="1">
      <c r="B782" s="22"/>
      <c r="C782" s="22"/>
    </row>
    <row r="783" ht="14.25" customHeight="1">
      <c r="B783" s="22"/>
      <c r="C783" s="22"/>
    </row>
    <row r="784" ht="14.25" customHeight="1">
      <c r="B784" s="22"/>
      <c r="C784" s="22"/>
    </row>
    <row r="785" ht="14.25" customHeight="1">
      <c r="B785" s="22"/>
      <c r="C785" s="22"/>
    </row>
    <row r="786" ht="14.25" customHeight="1">
      <c r="B786" s="22"/>
      <c r="C786" s="22"/>
    </row>
    <row r="787" ht="14.25" customHeight="1">
      <c r="B787" s="22"/>
      <c r="C787" s="22"/>
    </row>
    <row r="788" ht="14.25" customHeight="1">
      <c r="B788" s="22"/>
      <c r="C788" s="22"/>
    </row>
    <row r="789" ht="14.25" customHeight="1">
      <c r="B789" s="22"/>
      <c r="C789" s="22"/>
    </row>
    <row r="790" ht="14.25" customHeight="1">
      <c r="B790" s="22"/>
      <c r="C790" s="22"/>
    </row>
    <row r="791" ht="14.25" customHeight="1">
      <c r="B791" s="22"/>
      <c r="C791" s="22"/>
    </row>
    <row r="792" ht="14.25" customHeight="1">
      <c r="B792" s="22"/>
      <c r="C792" s="22"/>
    </row>
    <row r="793" ht="14.25" customHeight="1">
      <c r="B793" s="22"/>
      <c r="C793" s="22"/>
    </row>
    <row r="794" ht="14.25" customHeight="1">
      <c r="B794" s="22"/>
      <c r="C794" s="22"/>
    </row>
    <row r="795" ht="14.25" customHeight="1">
      <c r="B795" s="22"/>
      <c r="C795" s="22"/>
    </row>
    <row r="796" ht="14.25" customHeight="1">
      <c r="B796" s="22"/>
      <c r="C796" s="22"/>
    </row>
    <row r="797" ht="14.25" customHeight="1">
      <c r="B797" s="22"/>
      <c r="C797" s="22"/>
    </row>
    <row r="798" ht="14.25" customHeight="1">
      <c r="B798" s="22"/>
      <c r="C798" s="22"/>
    </row>
    <row r="799" ht="14.25" customHeight="1">
      <c r="B799" s="22"/>
      <c r="C799" s="22"/>
    </row>
    <row r="800" ht="14.25" customHeight="1">
      <c r="B800" s="22"/>
      <c r="C800" s="22"/>
    </row>
    <row r="801" ht="14.25" customHeight="1">
      <c r="B801" s="22"/>
      <c r="C801" s="22"/>
    </row>
    <row r="802" ht="14.25" customHeight="1">
      <c r="B802" s="22"/>
      <c r="C802" s="22"/>
    </row>
    <row r="803" ht="14.25" customHeight="1">
      <c r="B803" s="22"/>
      <c r="C803" s="22"/>
    </row>
    <row r="804" ht="14.25" customHeight="1">
      <c r="B804" s="22"/>
      <c r="C804" s="22"/>
    </row>
    <row r="805" ht="14.25" customHeight="1">
      <c r="B805" s="22"/>
      <c r="C805" s="22"/>
    </row>
    <row r="806" ht="14.25" customHeight="1">
      <c r="B806" s="22"/>
      <c r="C806" s="22"/>
    </row>
    <row r="807" ht="14.25" customHeight="1">
      <c r="B807" s="22"/>
      <c r="C807" s="22"/>
    </row>
    <row r="808" ht="14.25" customHeight="1">
      <c r="B808" s="22"/>
      <c r="C808" s="22"/>
    </row>
    <row r="809" ht="14.25" customHeight="1">
      <c r="B809" s="22"/>
      <c r="C809" s="22"/>
    </row>
    <row r="810" ht="14.25" customHeight="1">
      <c r="B810" s="22"/>
      <c r="C810" s="22"/>
    </row>
    <row r="811" ht="14.25" customHeight="1">
      <c r="B811" s="22"/>
      <c r="C811" s="22"/>
    </row>
    <row r="812" ht="14.25" customHeight="1">
      <c r="B812" s="22"/>
      <c r="C812" s="22"/>
    </row>
    <row r="813" ht="14.25" customHeight="1">
      <c r="B813" s="22"/>
      <c r="C813" s="22"/>
    </row>
    <row r="814" ht="14.25" customHeight="1">
      <c r="B814" s="22"/>
      <c r="C814" s="22"/>
    </row>
    <row r="815" ht="14.25" customHeight="1">
      <c r="B815" s="22"/>
      <c r="C815" s="22"/>
    </row>
    <row r="816" ht="14.25" customHeight="1">
      <c r="B816" s="22"/>
      <c r="C816" s="22"/>
    </row>
    <row r="817" ht="14.25" customHeight="1">
      <c r="B817" s="22"/>
      <c r="C817" s="22"/>
    </row>
    <row r="818" ht="14.25" customHeight="1">
      <c r="B818" s="22"/>
      <c r="C818" s="22"/>
    </row>
    <row r="819" ht="14.25" customHeight="1">
      <c r="B819" s="22"/>
      <c r="C819" s="22"/>
    </row>
    <row r="820" ht="14.25" customHeight="1">
      <c r="B820" s="22"/>
      <c r="C820" s="22"/>
    </row>
    <row r="821" ht="14.25" customHeight="1">
      <c r="B821" s="22"/>
      <c r="C821" s="22"/>
    </row>
    <row r="822" ht="14.25" customHeight="1">
      <c r="B822" s="22"/>
      <c r="C822" s="22"/>
    </row>
    <row r="823" ht="14.25" customHeight="1">
      <c r="B823" s="22"/>
      <c r="C823" s="22"/>
    </row>
    <row r="824" ht="14.25" customHeight="1">
      <c r="B824" s="22"/>
      <c r="C824" s="22"/>
    </row>
    <row r="825" ht="14.25" customHeight="1">
      <c r="B825" s="22"/>
      <c r="C825" s="22"/>
    </row>
    <row r="826" ht="14.25" customHeight="1">
      <c r="B826" s="22"/>
      <c r="C826" s="22"/>
    </row>
    <row r="827" ht="14.25" customHeight="1">
      <c r="B827" s="22"/>
      <c r="C827" s="22"/>
    </row>
    <row r="828" ht="14.25" customHeight="1">
      <c r="B828" s="22"/>
      <c r="C828" s="22"/>
    </row>
    <row r="829" ht="14.25" customHeight="1">
      <c r="B829" s="22"/>
      <c r="C829" s="22"/>
    </row>
    <row r="830" ht="14.25" customHeight="1">
      <c r="B830" s="22"/>
      <c r="C830" s="22"/>
    </row>
    <row r="831" ht="14.25" customHeight="1">
      <c r="B831" s="22"/>
      <c r="C831" s="22"/>
    </row>
    <row r="832" ht="14.25" customHeight="1">
      <c r="B832" s="22"/>
      <c r="C832" s="22"/>
    </row>
    <row r="833" ht="14.25" customHeight="1">
      <c r="B833" s="22"/>
      <c r="C833" s="22"/>
    </row>
    <row r="834" ht="14.25" customHeight="1">
      <c r="B834" s="22"/>
      <c r="C834" s="22"/>
    </row>
    <row r="835" ht="14.25" customHeight="1">
      <c r="B835" s="22"/>
      <c r="C835" s="22"/>
    </row>
    <row r="836" ht="14.25" customHeight="1">
      <c r="B836" s="22"/>
      <c r="C836" s="22"/>
    </row>
    <row r="837" ht="14.25" customHeight="1">
      <c r="B837" s="22"/>
      <c r="C837" s="22"/>
    </row>
    <row r="838" ht="14.25" customHeight="1">
      <c r="B838" s="22"/>
      <c r="C838" s="22"/>
    </row>
    <row r="839" ht="14.25" customHeight="1">
      <c r="B839" s="22"/>
      <c r="C839" s="22"/>
    </row>
    <row r="840" ht="14.25" customHeight="1">
      <c r="B840" s="22"/>
      <c r="C840" s="22"/>
    </row>
    <row r="841" ht="14.25" customHeight="1">
      <c r="B841" s="22"/>
      <c r="C841" s="22"/>
    </row>
    <row r="842" ht="14.25" customHeight="1">
      <c r="B842" s="22"/>
      <c r="C842" s="22"/>
    </row>
    <row r="843" ht="14.25" customHeight="1">
      <c r="B843" s="22"/>
      <c r="C843" s="22"/>
    </row>
    <row r="844" ht="14.25" customHeight="1">
      <c r="B844" s="22"/>
      <c r="C844" s="22"/>
    </row>
    <row r="845" ht="14.25" customHeight="1">
      <c r="B845" s="22"/>
      <c r="C845" s="22"/>
    </row>
    <row r="846" ht="14.25" customHeight="1">
      <c r="B846" s="22"/>
      <c r="C846" s="22"/>
    </row>
    <row r="847" ht="14.25" customHeight="1">
      <c r="B847" s="22"/>
      <c r="C847" s="22"/>
    </row>
    <row r="848" ht="14.25" customHeight="1">
      <c r="B848" s="22"/>
      <c r="C848" s="22"/>
    </row>
    <row r="849" ht="14.25" customHeight="1">
      <c r="B849" s="22"/>
      <c r="C849" s="22"/>
    </row>
    <row r="850" ht="14.25" customHeight="1">
      <c r="B850" s="22"/>
      <c r="C850" s="22"/>
    </row>
    <row r="851" ht="14.25" customHeight="1">
      <c r="B851" s="22"/>
      <c r="C851" s="22"/>
    </row>
    <row r="852" ht="14.25" customHeight="1">
      <c r="B852" s="22"/>
      <c r="C852" s="22"/>
    </row>
    <row r="853" ht="14.25" customHeight="1">
      <c r="B853" s="22"/>
      <c r="C853" s="22"/>
    </row>
    <row r="854" ht="14.25" customHeight="1">
      <c r="B854" s="22"/>
      <c r="C854" s="22"/>
    </row>
    <row r="855" ht="14.25" customHeight="1">
      <c r="B855" s="22"/>
      <c r="C855" s="22"/>
    </row>
    <row r="856" ht="14.25" customHeight="1">
      <c r="B856" s="22"/>
      <c r="C856" s="22"/>
    </row>
    <row r="857" ht="14.25" customHeight="1">
      <c r="B857" s="22"/>
      <c r="C857" s="22"/>
    </row>
    <row r="858" ht="14.25" customHeight="1">
      <c r="B858" s="22"/>
      <c r="C858" s="22"/>
    </row>
    <row r="859" ht="14.25" customHeight="1">
      <c r="B859" s="22"/>
      <c r="C859" s="22"/>
    </row>
    <row r="860" ht="14.25" customHeight="1">
      <c r="B860" s="22"/>
      <c r="C860" s="22"/>
    </row>
    <row r="861" ht="14.25" customHeight="1">
      <c r="B861" s="22"/>
      <c r="C861" s="22"/>
    </row>
    <row r="862" ht="14.25" customHeight="1">
      <c r="B862" s="22"/>
      <c r="C862" s="22"/>
    </row>
    <row r="863" ht="14.25" customHeight="1">
      <c r="B863" s="22"/>
      <c r="C863" s="22"/>
    </row>
    <row r="864" ht="14.25" customHeight="1">
      <c r="B864" s="22"/>
      <c r="C864" s="22"/>
    </row>
    <row r="865" ht="14.25" customHeight="1">
      <c r="B865" s="22"/>
      <c r="C865" s="22"/>
    </row>
    <row r="866" ht="14.25" customHeight="1">
      <c r="B866" s="22"/>
      <c r="C866" s="22"/>
    </row>
    <row r="867" ht="14.25" customHeight="1">
      <c r="B867" s="22"/>
      <c r="C867" s="22"/>
    </row>
    <row r="868" ht="14.25" customHeight="1">
      <c r="B868" s="22"/>
      <c r="C868" s="22"/>
    </row>
    <row r="869" ht="14.25" customHeight="1">
      <c r="B869" s="22"/>
      <c r="C869" s="22"/>
    </row>
    <row r="870" ht="14.25" customHeight="1">
      <c r="B870" s="22"/>
      <c r="C870" s="22"/>
    </row>
    <row r="871" ht="14.25" customHeight="1">
      <c r="B871" s="22"/>
      <c r="C871" s="22"/>
    </row>
    <row r="872" ht="14.25" customHeight="1">
      <c r="B872" s="22"/>
      <c r="C872" s="22"/>
    </row>
    <row r="873" ht="14.25" customHeight="1">
      <c r="B873" s="22"/>
      <c r="C873" s="22"/>
    </row>
    <row r="874" ht="14.25" customHeight="1">
      <c r="B874" s="22"/>
      <c r="C874" s="22"/>
    </row>
    <row r="875" ht="14.25" customHeight="1">
      <c r="B875" s="22"/>
      <c r="C875" s="22"/>
    </row>
    <row r="876" ht="14.25" customHeight="1">
      <c r="B876" s="22"/>
      <c r="C876" s="22"/>
    </row>
    <row r="877" ht="14.25" customHeight="1">
      <c r="B877" s="22"/>
      <c r="C877" s="22"/>
    </row>
    <row r="878" ht="14.25" customHeight="1">
      <c r="B878" s="22"/>
      <c r="C878" s="22"/>
    </row>
    <row r="879" ht="14.25" customHeight="1">
      <c r="B879" s="22"/>
      <c r="C879" s="22"/>
    </row>
    <row r="880" ht="14.25" customHeight="1">
      <c r="B880" s="22"/>
      <c r="C880" s="22"/>
    </row>
    <row r="881" ht="14.25" customHeight="1">
      <c r="B881" s="22"/>
      <c r="C881" s="22"/>
    </row>
    <row r="882" ht="14.25" customHeight="1">
      <c r="B882" s="22"/>
      <c r="C882" s="22"/>
    </row>
    <row r="883" ht="14.25" customHeight="1">
      <c r="B883" s="22"/>
      <c r="C883" s="22"/>
    </row>
    <row r="884" ht="14.25" customHeight="1">
      <c r="B884" s="22"/>
      <c r="C884" s="22"/>
    </row>
    <row r="885" ht="14.25" customHeight="1">
      <c r="B885" s="22"/>
      <c r="C885" s="22"/>
    </row>
    <row r="886" ht="14.25" customHeight="1">
      <c r="B886" s="22"/>
      <c r="C886" s="22"/>
    </row>
    <row r="887" ht="14.25" customHeight="1">
      <c r="B887" s="22"/>
      <c r="C887" s="22"/>
    </row>
    <row r="888" ht="14.25" customHeight="1">
      <c r="B888" s="22"/>
      <c r="C888" s="22"/>
    </row>
    <row r="889" ht="14.25" customHeight="1">
      <c r="B889" s="22"/>
      <c r="C889" s="22"/>
    </row>
    <row r="890" ht="14.25" customHeight="1">
      <c r="B890" s="22"/>
      <c r="C890" s="22"/>
    </row>
    <row r="891" ht="14.25" customHeight="1">
      <c r="B891" s="22"/>
      <c r="C891" s="22"/>
    </row>
    <row r="892" ht="14.25" customHeight="1">
      <c r="B892" s="22"/>
      <c r="C892" s="22"/>
    </row>
    <row r="893" ht="14.25" customHeight="1">
      <c r="B893" s="22"/>
      <c r="C893" s="22"/>
    </row>
    <row r="894" ht="14.25" customHeight="1">
      <c r="B894" s="22"/>
      <c r="C894" s="22"/>
    </row>
    <row r="895" ht="14.25" customHeight="1">
      <c r="B895" s="22"/>
      <c r="C895" s="22"/>
    </row>
    <row r="896" ht="14.25" customHeight="1">
      <c r="B896" s="22"/>
      <c r="C896" s="22"/>
    </row>
    <row r="897" ht="14.25" customHeight="1">
      <c r="B897" s="22"/>
      <c r="C897" s="22"/>
    </row>
    <row r="898" ht="14.25" customHeight="1">
      <c r="B898" s="22"/>
      <c r="C898" s="22"/>
    </row>
    <row r="899" ht="14.25" customHeight="1">
      <c r="B899" s="22"/>
      <c r="C899" s="22"/>
    </row>
    <row r="900" ht="14.25" customHeight="1">
      <c r="B900" s="22"/>
      <c r="C900" s="22"/>
    </row>
    <row r="901" ht="14.25" customHeight="1">
      <c r="B901" s="22"/>
      <c r="C901" s="22"/>
    </row>
    <row r="902" ht="14.25" customHeight="1">
      <c r="B902" s="22"/>
      <c r="C902" s="22"/>
    </row>
    <row r="903" ht="14.25" customHeight="1">
      <c r="B903" s="22"/>
      <c r="C903" s="22"/>
    </row>
    <row r="904" ht="14.25" customHeight="1">
      <c r="B904" s="22"/>
      <c r="C904" s="22"/>
    </row>
    <row r="905" ht="14.25" customHeight="1">
      <c r="B905" s="22"/>
      <c r="C905" s="22"/>
    </row>
    <row r="906" ht="14.25" customHeight="1">
      <c r="B906" s="22"/>
      <c r="C906" s="22"/>
    </row>
    <row r="907" ht="14.25" customHeight="1">
      <c r="B907" s="22"/>
      <c r="C907" s="22"/>
    </row>
    <row r="908" ht="14.25" customHeight="1">
      <c r="B908" s="22"/>
      <c r="C908" s="22"/>
    </row>
    <row r="909" ht="14.25" customHeight="1">
      <c r="B909" s="22"/>
      <c r="C909" s="22"/>
    </row>
    <row r="910" ht="14.25" customHeight="1">
      <c r="B910" s="22"/>
      <c r="C910" s="22"/>
    </row>
    <row r="911" ht="14.25" customHeight="1">
      <c r="B911" s="22"/>
      <c r="C911" s="22"/>
    </row>
    <row r="912" ht="14.25" customHeight="1">
      <c r="B912" s="22"/>
      <c r="C912" s="22"/>
    </row>
    <row r="913" ht="14.25" customHeight="1">
      <c r="B913" s="22"/>
      <c r="C913" s="22"/>
    </row>
    <row r="914" ht="14.25" customHeight="1">
      <c r="B914" s="22"/>
      <c r="C914" s="22"/>
    </row>
    <row r="915" ht="14.25" customHeight="1">
      <c r="B915" s="22"/>
      <c r="C915" s="22"/>
    </row>
    <row r="916" ht="14.25" customHeight="1">
      <c r="B916" s="22"/>
      <c r="C916" s="22"/>
    </row>
    <row r="917" ht="14.25" customHeight="1">
      <c r="B917" s="22"/>
      <c r="C917" s="22"/>
    </row>
    <row r="918" ht="14.25" customHeight="1">
      <c r="B918" s="22"/>
      <c r="C918" s="22"/>
    </row>
    <row r="919" ht="14.25" customHeight="1">
      <c r="B919" s="22"/>
      <c r="C919" s="22"/>
    </row>
    <row r="920" ht="14.25" customHeight="1">
      <c r="B920" s="22"/>
      <c r="C920" s="22"/>
    </row>
    <row r="921" ht="14.25" customHeight="1">
      <c r="B921" s="22"/>
      <c r="C921" s="22"/>
    </row>
    <row r="922" ht="14.25" customHeight="1">
      <c r="B922" s="22"/>
      <c r="C922" s="22"/>
    </row>
    <row r="923" ht="14.25" customHeight="1">
      <c r="B923" s="22"/>
      <c r="C923" s="22"/>
    </row>
    <row r="924" ht="14.25" customHeight="1">
      <c r="B924" s="22"/>
      <c r="C924" s="22"/>
    </row>
    <row r="925" ht="14.25" customHeight="1">
      <c r="B925" s="22"/>
      <c r="C925" s="22"/>
    </row>
    <row r="926" ht="14.25" customHeight="1">
      <c r="B926" s="22"/>
      <c r="C926" s="22"/>
    </row>
    <row r="927" ht="14.25" customHeight="1">
      <c r="B927" s="22"/>
      <c r="C927" s="22"/>
    </row>
    <row r="928" ht="14.25" customHeight="1">
      <c r="B928" s="22"/>
      <c r="C928" s="22"/>
    </row>
    <row r="929" ht="14.25" customHeight="1">
      <c r="B929" s="22"/>
      <c r="C929" s="22"/>
    </row>
    <row r="930" ht="14.25" customHeight="1">
      <c r="B930" s="22"/>
      <c r="C930" s="22"/>
    </row>
    <row r="931" ht="14.25" customHeight="1">
      <c r="B931" s="22"/>
      <c r="C931" s="22"/>
    </row>
    <row r="932" ht="14.25" customHeight="1">
      <c r="B932" s="22"/>
      <c r="C932" s="22"/>
    </row>
    <row r="933" ht="14.25" customHeight="1">
      <c r="B933" s="22"/>
      <c r="C933" s="22"/>
    </row>
    <row r="934" ht="14.25" customHeight="1">
      <c r="B934" s="22"/>
      <c r="C934" s="22"/>
    </row>
    <row r="935" ht="14.25" customHeight="1">
      <c r="B935" s="22"/>
      <c r="C935" s="22"/>
    </row>
    <row r="936" ht="14.25" customHeight="1">
      <c r="B936" s="22"/>
      <c r="C936" s="22"/>
    </row>
    <row r="937" ht="14.25" customHeight="1">
      <c r="B937" s="22"/>
      <c r="C937" s="22"/>
    </row>
    <row r="938" ht="14.25" customHeight="1">
      <c r="B938" s="22"/>
      <c r="C938" s="22"/>
    </row>
    <row r="939" ht="14.25" customHeight="1">
      <c r="B939" s="22"/>
      <c r="C939" s="22"/>
    </row>
    <row r="940" ht="14.25" customHeight="1">
      <c r="B940" s="22"/>
      <c r="C940" s="22"/>
    </row>
    <row r="941" ht="14.25" customHeight="1">
      <c r="B941" s="22"/>
      <c r="C941" s="22"/>
    </row>
    <row r="942" ht="14.25" customHeight="1">
      <c r="B942" s="22"/>
      <c r="C942" s="22"/>
    </row>
    <row r="943" ht="14.25" customHeight="1">
      <c r="B943" s="22"/>
      <c r="C943" s="22"/>
    </row>
    <row r="944" ht="14.25" customHeight="1">
      <c r="B944" s="22"/>
      <c r="C944" s="22"/>
    </row>
    <row r="945" ht="14.25" customHeight="1">
      <c r="B945" s="22"/>
      <c r="C945" s="22"/>
    </row>
    <row r="946" ht="14.25" customHeight="1">
      <c r="B946" s="22"/>
      <c r="C946" s="22"/>
    </row>
    <row r="947" ht="14.25" customHeight="1">
      <c r="B947" s="22"/>
      <c r="C947" s="22"/>
    </row>
    <row r="948" ht="14.25" customHeight="1">
      <c r="B948" s="22"/>
      <c r="C948" s="22"/>
    </row>
    <row r="949" ht="14.25" customHeight="1">
      <c r="B949" s="22"/>
      <c r="C949" s="22"/>
    </row>
    <row r="950" ht="14.25" customHeight="1">
      <c r="B950" s="22"/>
      <c r="C950" s="22"/>
    </row>
    <row r="951" ht="14.25" customHeight="1">
      <c r="B951" s="22"/>
      <c r="C951" s="22"/>
    </row>
    <row r="952" ht="14.25" customHeight="1">
      <c r="B952" s="22"/>
      <c r="C952" s="22"/>
    </row>
    <row r="953" ht="14.25" customHeight="1">
      <c r="B953" s="22"/>
      <c r="C953" s="22"/>
    </row>
    <row r="954" ht="14.25" customHeight="1">
      <c r="B954" s="22"/>
      <c r="C954" s="22"/>
    </row>
    <row r="955" ht="14.25" customHeight="1">
      <c r="B955" s="22"/>
      <c r="C955" s="22"/>
    </row>
    <row r="956" ht="14.25" customHeight="1">
      <c r="B956" s="22"/>
      <c r="C956" s="22"/>
    </row>
    <row r="957" ht="14.25" customHeight="1">
      <c r="B957" s="22"/>
      <c r="C957" s="22"/>
    </row>
    <row r="958" ht="14.25" customHeight="1">
      <c r="B958" s="22"/>
      <c r="C958" s="22"/>
    </row>
    <row r="959" ht="14.25" customHeight="1">
      <c r="B959" s="22"/>
      <c r="C959" s="22"/>
    </row>
    <row r="960" ht="14.25" customHeight="1">
      <c r="B960" s="22"/>
      <c r="C960" s="22"/>
    </row>
    <row r="961" ht="14.25" customHeight="1">
      <c r="B961" s="22"/>
      <c r="C961" s="22"/>
    </row>
    <row r="962" ht="14.25" customHeight="1">
      <c r="B962" s="22"/>
      <c r="C962" s="22"/>
    </row>
    <row r="963" ht="14.25" customHeight="1">
      <c r="B963" s="22"/>
      <c r="C963" s="22"/>
    </row>
    <row r="964" ht="14.25" customHeight="1">
      <c r="B964" s="22"/>
      <c r="C964" s="22"/>
    </row>
    <row r="965" ht="14.25" customHeight="1">
      <c r="B965" s="22"/>
      <c r="C965" s="22"/>
    </row>
    <row r="966" ht="14.25" customHeight="1">
      <c r="B966" s="22"/>
      <c r="C966" s="22"/>
    </row>
    <row r="967" ht="14.25" customHeight="1">
      <c r="B967" s="22"/>
      <c r="C967" s="22"/>
    </row>
    <row r="968" ht="14.25" customHeight="1">
      <c r="B968" s="22"/>
      <c r="C968" s="22"/>
    </row>
    <row r="969" ht="14.25" customHeight="1">
      <c r="B969" s="22"/>
      <c r="C969" s="22"/>
    </row>
    <row r="970" ht="14.25" customHeight="1">
      <c r="B970" s="22"/>
      <c r="C970" s="22"/>
    </row>
    <row r="971" ht="14.25" customHeight="1">
      <c r="B971" s="22"/>
      <c r="C971" s="22"/>
    </row>
    <row r="972" ht="14.25" customHeight="1">
      <c r="B972" s="22"/>
      <c r="C972" s="22"/>
    </row>
    <row r="973" ht="14.25" customHeight="1">
      <c r="B973" s="22"/>
      <c r="C973" s="22"/>
    </row>
    <row r="974" ht="14.25" customHeight="1">
      <c r="B974" s="22"/>
      <c r="C974" s="22"/>
    </row>
    <row r="975" ht="14.25" customHeight="1">
      <c r="B975" s="22"/>
      <c r="C975" s="22"/>
    </row>
    <row r="976" ht="14.25" customHeight="1">
      <c r="B976" s="22"/>
      <c r="C976" s="22"/>
    </row>
    <row r="977" ht="14.25" customHeight="1">
      <c r="B977" s="22"/>
      <c r="C977" s="22"/>
    </row>
    <row r="978" ht="14.25" customHeight="1">
      <c r="B978" s="22"/>
      <c r="C978" s="22"/>
    </row>
    <row r="979" ht="14.25" customHeight="1">
      <c r="B979" s="22"/>
      <c r="C979" s="22"/>
    </row>
    <row r="980" ht="14.25" customHeight="1">
      <c r="B980" s="22"/>
      <c r="C980" s="22"/>
    </row>
    <row r="981" ht="14.25" customHeight="1">
      <c r="B981" s="22"/>
      <c r="C981" s="22"/>
    </row>
    <row r="982" ht="14.25" customHeight="1">
      <c r="B982" s="22"/>
      <c r="C982" s="22"/>
    </row>
    <row r="983" ht="14.25" customHeight="1">
      <c r="B983" s="22"/>
      <c r="C983" s="22"/>
    </row>
    <row r="984" ht="14.25" customHeight="1">
      <c r="B984" s="22"/>
      <c r="C984" s="22"/>
    </row>
    <row r="985" ht="14.25" customHeight="1">
      <c r="B985" s="22"/>
      <c r="C985" s="22"/>
    </row>
    <row r="986" ht="14.25" customHeight="1">
      <c r="B986" s="22"/>
      <c r="C986" s="22"/>
    </row>
    <row r="987" ht="14.25" customHeight="1">
      <c r="B987" s="22"/>
      <c r="C987" s="22"/>
    </row>
    <row r="988" ht="14.25" customHeight="1">
      <c r="B988" s="22"/>
      <c r="C988" s="22"/>
    </row>
    <row r="989" ht="14.25" customHeight="1">
      <c r="B989" s="22"/>
      <c r="C989" s="22"/>
    </row>
    <row r="990" ht="14.25" customHeight="1">
      <c r="B990" s="22"/>
      <c r="C990" s="22"/>
    </row>
    <row r="991" ht="14.25" customHeight="1">
      <c r="B991" s="22"/>
      <c r="C991" s="22"/>
    </row>
    <row r="992" ht="14.25" customHeight="1">
      <c r="B992" s="22"/>
      <c r="C992" s="22"/>
    </row>
    <row r="993" ht="14.25" customHeight="1">
      <c r="B993" s="22"/>
      <c r="C993" s="22"/>
    </row>
    <row r="994" ht="14.25" customHeight="1">
      <c r="B994" s="22"/>
      <c r="C994" s="22"/>
    </row>
    <row r="995" ht="14.25" customHeight="1">
      <c r="B995" s="22"/>
      <c r="C995" s="22"/>
    </row>
    <row r="996" ht="14.25" customHeight="1">
      <c r="B996" s="22"/>
      <c r="C996" s="22"/>
    </row>
    <row r="997" ht="14.25" customHeight="1">
      <c r="B997" s="22"/>
      <c r="C997" s="22"/>
    </row>
    <row r="998" ht="14.25" customHeight="1">
      <c r="B998" s="22"/>
      <c r="C998" s="22"/>
    </row>
    <row r="999" ht="14.25" customHeight="1">
      <c r="B999" s="22"/>
      <c r="C999" s="22"/>
    </row>
    <row r="1000" ht="14.25" customHeight="1">
      <c r="B1000" s="22"/>
      <c r="C1000" s="22"/>
    </row>
  </sheetData>
  <mergeCells count="9">
    <mergeCell ref="Q4:R4"/>
    <mergeCell ref="T4:U4"/>
    <mergeCell ref="C1:S1"/>
    <mergeCell ref="G2:O2"/>
    <mergeCell ref="B4:C4"/>
    <mergeCell ref="E4:F4"/>
    <mergeCell ref="H4:I4"/>
    <mergeCell ref="K4:L4"/>
    <mergeCell ref="N4:O4"/>
  </mergeCells>
  <printOptions/>
  <pageMargins bottom="0.75" footer="0.0" header="0.0" left="0.7" right="0.7" top="0.75"/>
  <pageSetup paperSize="9" orientation="portrait"/>
  <drawing r:id="rId1"/>
</worksheet>
</file>